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EME" sheetId="1" state="visible" r:id="rId3"/>
    <sheet name="NOTAS_MERCADO" sheetId="2" state="visible" r:id="rId4"/>
    <sheet name="CATALOGO_FONDOS" sheetId="3" state="visible" r:id="rId5"/>
    <sheet name="CLIENTES" sheetId="4" state="visible" r:id="rId6"/>
    <sheet name="DICCIONARIO" sheetId="5" state="visible" r:id="rId7"/>
    <sheet name="RESUMEN" sheetId="6" state="visible" r:id="rId8"/>
  </sheets>
  <definedNames>
    <definedName function="false" hidden="true" localSheetId="2" name="_xlnm._FilterDatabase" vbProcedure="false">CATALOGO_FONDOS!$A$1:$N$485</definedName>
    <definedName function="false" hidden="true" localSheetId="3" name="_xlnm._FilterDatabase" vbProcedure="false">CLIENTES!$A$1:$K$151</definedName>
    <definedName function="false" hidden="true" localSheetId="1" name="_xlnm._FilterDatabase" vbProcedure="false">NOTAS_MERCADO!$A$1:$I$401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<sst xmlns="http://schemas.openxmlformats.org/spreadsheetml/2006/main" count="7588" uniqueCount="1536">
  <si>
    <t xml:space="preserve">ACTIVIDAD 4 — CONJUNTOS DE DATOS</t>
  </si>
  <si>
    <t xml:space="preserve">Comparación de modelos preentrenados de Hugging Face para la lectura de notas de mercado</t>
  </si>
  <si>
    <t xml:space="preserve">Alumno</t>
  </si>
  <si>
    <t xml:space="preserve">Eduardo Aburto Angulo · Banquero Patrimonial Sr., BBVA México · plaza Xalapa</t>
  </si>
  <si>
    <t xml:space="preserve">Matrícula</t>
  </si>
  <si>
    <t xml:space="preserve">AL07182743</t>
  </si>
  <si>
    <t xml:space="preserve">Docente</t>
  </si>
  <si>
    <t xml:space="preserve">M. en C. Luis Ariel Vázquez Piña · Universidad Tecmilenio</t>
  </si>
  <si>
    <t xml:space="preserve">Fecha</t>
  </si>
  <si>
    <t xml:space="preserve">9 de octubre de 2026</t>
  </si>
  <si>
    <t xml:space="preserve">QUÉ CONTIENE ESTE LIBRO</t>
  </si>
  <si>
    <t xml:space="preserve">NOTAS_MERCADO</t>
  </si>
  <si>
    <t xml:space="preserve">SINTÉTICO, DECLARADO. 400 notas de mercado en español etiquetadas por impacto (POSITIVO / NEUTRAL / NEGATIVO). Es el conjunto con el que se comparan los cuatro modelos.</t>
  </si>
  <si>
    <t xml:space="preserve">CATALOGO_FONDOS</t>
  </si>
  <si>
    <t xml:space="preserve">REAL. 484 series de 59 fondos, tomadas del Anaquel con Rendimientos Históricos de BBVA México del 08/10/2026, documento público. Ninguna cifra fue estimada.</t>
  </si>
  <si>
    <t xml:space="preserve">CLIENTES</t>
  </si>
  <si>
    <t xml:space="preserve">SINTÉTICO, DECLARADO. 150 clientes con posiciones de 5 a 20 millones de pesos, que es el tamaño de cartera de un banquero patrimonial senior.</t>
  </si>
  <si>
    <t xml:space="preserve">DICCIONARIO</t>
  </si>
  <si>
    <t xml:space="preserve">Descripción campo por campo de los tres conjuntos.</t>
  </si>
  <si>
    <t xml:space="preserve">RESUMEN</t>
  </si>
  <si>
    <t xml:space="preserve">Conteos y distribuciones, calculados con fórmulas sobre las hojas de datos.</t>
  </si>
  <si>
    <t xml:space="preserve">POR QUÉ HAY DATOS SIMULADOS</t>
  </si>
  <si>
    <t xml:space="preserve">Las notas de análisis de la mesa son material propietario y no puedo publicarlas en un repositorio académico. Las carteras de clientes son datos personales y financieros protegidos por la LFPDPPP.</t>
  </si>
  <si>
    <t xml:space="preserve">Para fines didácticos y por privacidad de los datos usamos nombres de superhéroes y villanos, ya que les puedo simular características individuales relacionadas con la ficción para poder comprobar la lógica de los resultados.</t>
  </si>
  <si>
    <t xml:space="preserve">Lo que sí es real son los fondos, sus categorías y sus rendimientos, tomados del anaquel que BBVA publica todos los días.</t>
  </si>
  <si>
    <t xml:space="preserve">REPRODUCIBILIDAD</t>
  </si>
  <si>
    <t xml:space="preserve">Los generadores son deterministas con la semilla 20261008. Dos comandos reproducen todo:</t>
  </si>
  <si>
    <t xml:space="preserve">    python3 src/parse_anaquel.py anaquel.txt data/catalogo_fondos.csv</t>
  </si>
  <si>
    <t xml:space="preserve">    python3 src/build_dataset.py</t>
  </si>
  <si>
    <t xml:space="preserve">id</t>
  </si>
  <si>
    <t xml:space="preserve">fecha</t>
  </si>
  <si>
    <t xml:space="preserve">fuente</t>
  </si>
  <si>
    <t xml:space="preserve">clase_activo</t>
  </si>
  <si>
    <t xml:space="preserve">texto</t>
  </si>
  <si>
    <t xml:space="preserve">impacto</t>
  </si>
  <si>
    <t xml:space="preserve">fenomeno</t>
  </si>
  <si>
    <t xml:space="preserve">dificultad</t>
  </si>
  <si>
    <t xml:space="preserve">fondos_relacionados</t>
  </si>
  <si>
    <t xml:space="preserve">N0001</t>
  </si>
  <si>
    <t xml:space="preserve">2026-10-05</t>
  </si>
  <si>
    <t xml:space="preserve">Prensa financiera</t>
  </si>
  <si>
    <t xml:space="preserve">Deuda Largo Plazo</t>
  </si>
  <si>
    <t xml:space="preserve">El rendimiento del bono a treinta años subió 10 puntos base y generó minusvalías en los fondos de larga duración.</t>
  </si>
  <si>
    <t xml:space="preserve">NEGATIVO</t>
  </si>
  <si>
    <t xml:space="preserve">directo</t>
  </si>
  <si>
    <t xml:space="preserve">facil</t>
  </si>
  <si>
    <t xml:space="preserve">BBVACOR, BBVADGA</t>
  </si>
  <si>
    <t xml:space="preserve">N0002</t>
  </si>
  <si>
    <t xml:space="preserve">Resumen de mesa</t>
  </si>
  <si>
    <t xml:space="preserve">Renta Variable Nacional</t>
  </si>
  <si>
    <t xml:space="preserve">Flash informativo: El índice de referencia de la bolsa mexicana avanzó 5.5 por ciento impulsado por el sector consumo. Se recomienda revisar la exposición de las carteras afectadas.</t>
  </si>
  <si>
    <t xml:space="preserve">POSITIVO</t>
  </si>
  <si>
    <t xml:space="preserve">BBVARFG, BBVARV</t>
  </si>
  <si>
    <t xml:space="preserve">N0003</t>
  </si>
  <si>
    <t xml:space="preserve">2026-10-08</t>
  </si>
  <si>
    <t xml:space="preserve">Nota de análisis</t>
  </si>
  <si>
    <t xml:space="preserve">Deuda Corto Plazo</t>
  </si>
  <si>
    <t xml:space="preserve">Nota de la mesa de análisis: La inflación subyacente no sorprendió al alza y se mantuvo dentro del rango objetivo. El equipo de inversiones dará seguimiento en la sesión del lunes.</t>
  </si>
  <si>
    <t xml:space="preserve">negacion</t>
  </si>
  <si>
    <t xml:space="preserve">dificil</t>
  </si>
  <si>
    <t xml:space="preserve">BBVAGOB, BBVAUDI</t>
  </si>
  <si>
    <t xml:space="preserve">N0004</t>
  </si>
  <si>
    <t xml:space="preserve">2026-10-02</t>
  </si>
  <si>
    <t xml:space="preserve">Comunicado oficial</t>
  </si>
  <si>
    <t xml:space="preserve">Banxico recortó la tasa de referencia en 25 puntos base; las tasas de fondeo a un día siguen en niveles atractivos para los fondos de liquidez. Se recomienda revisar la exposición de las carteras afectadas.</t>
  </si>
  <si>
    <t xml:space="preserve">BBVARF, BBVALIQ</t>
  </si>
  <si>
    <t xml:space="preserve">N0005</t>
  </si>
  <si>
    <t xml:space="preserve">2026-10-03</t>
  </si>
  <si>
    <t xml:space="preserve">A pesar del buen dato de empleo, el componente de servicios de la inflación volvió a presionar las tasas de corto plazo.</t>
  </si>
  <si>
    <t xml:space="preserve">contraste</t>
  </si>
  <si>
    <t xml:space="preserve">BBVADD, BBVAGB2</t>
  </si>
  <si>
    <t xml:space="preserve">N0006</t>
  </si>
  <si>
    <t xml:space="preserve">El fondo cerró el mes con minusvalía de 1.6 por ciento, pero el devengo acumulado del año sigue en terreno positivo y la duración juega a favor. La información se actualizará con el cierre oficial.</t>
  </si>
  <si>
    <t xml:space="preserve">cifra_mixta</t>
  </si>
  <si>
    <t xml:space="preserve">media</t>
  </si>
  <si>
    <t xml:space="preserve">BBVAGLP, BBVACOR</t>
  </si>
  <si>
    <t xml:space="preserve">N0007</t>
  </si>
  <si>
    <t xml:space="preserve">2026-10-07</t>
  </si>
  <si>
    <t xml:space="preserve">La emisora reportó utilidades por arriba del consenso y elevó su guía para el cierre del año.</t>
  </si>
  <si>
    <t xml:space="preserve">BBVARV, BBVARFL</t>
  </si>
  <si>
    <t xml:space="preserve">N0008</t>
  </si>
  <si>
    <t xml:space="preserve">Resumen diario de mercados: La calificadora puso en perspectiva negativa la deuda corporativa del sector y advirtió sobre el nivel de apalancamiento.</t>
  </si>
  <si>
    <t xml:space="preserve">BBVADGA, BBVAUDI</t>
  </si>
  <si>
    <t xml:space="preserve">N0009</t>
  </si>
  <si>
    <t xml:space="preserve">2026-10-01</t>
  </si>
  <si>
    <t xml:space="preserve">El fondo cerró el mes con minusvalía de 1.1 por ciento, pero el devengo acumulado del año sigue en terreno positivo y la duración juega a favor. La información se actualizará con el cierre oficial.</t>
  </si>
  <si>
    <t xml:space="preserve">BBVACOR, BBVADLP</t>
  </si>
  <si>
    <t xml:space="preserve">N0010</t>
  </si>
  <si>
    <t xml:space="preserve">Resumen diario de mercados: Si bien el entorno global sigue incierto, los udibonos capturaron la compresión de spreads de la semana.</t>
  </si>
  <si>
    <t xml:space="preserve">BBVAMRF, BBVADLP</t>
  </si>
  <si>
    <t xml:space="preserve">N0011</t>
  </si>
  <si>
    <t xml:space="preserve">Renta Variable Internacional</t>
  </si>
  <si>
    <t xml:space="preserve">Aunque la inflación estadounidense cedió, el mercado accionario cayó por el temor a una desaceleración más profunda.</t>
  </si>
  <si>
    <t xml:space="preserve">BBVAEMG, BBVACAP</t>
  </si>
  <si>
    <t xml:space="preserve">N0012</t>
  </si>
  <si>
    <t xml:space="preserve">2026-10-04</t>
  </si>
  <si>
    <t xml:space="preserve">Resumen diario de mercados: Aunque la volatilidad cambiaria repuntó, los instrumentos de deuda gubernamental de corto plazo conservaron su rendimiento devengado.</t>
  </si>
  <si>
    <t xml:space="preserve">BBVAGB2, BBVATES</t>
  </si>
  <si>
    <t xml:space="preserve">N0013</t>
  </si>
  <si>
    <t xml:space="preserve">Divisas</t>
  </si>
  <si>
    <t xml:space="preserve">La agencia no degradó la calificación soberana y el tipo de cambio recuperó terreno.</t>
  </si>
  <si>
    <t xml:space="preserve">BBVAPC, BBVADOL</t>
  </si>
  <si>
    <t xml:space="preserve">N0014</t>
  </si>
  <si>
    <t xml:space="preserve">Resumen diario de mercados: El tipo de cambio se depreció 1.1 por ciento en la jornada ante la aversión al riesgo global.</t>
  </si>
  <si>
    <t xml:space="preserve">BBVAEUR, BBVADOL</t>
  </si>
  <si>
    <t xml:space="preserve">N0015</t>
  </si>
  <si>
    <t xml:space="preserve">El banco central publicó el calendario de subastas de coberturas cambiarias para el próximo trimestre.</t>
  </si>
  <si>
    <t xml:space="preserve">NEUTRAL</t>
  </si>
  <si>
    <t xml:space="preserve">BBVAPC, BBVAEUR</t>
  </si>
  <si>
    <t xml:space="preserve">N0016</t>
  </si>
  <si>
    <t xml:space="preserve">Cierre de mercado: Los principales índices accionarios de Estados Unidos cerraron con ganancias tras un dato de empleo favorable. El movimiento es consistente con lo observado en la región.</t>
  </si>
  <si>
    <t xml:space="preserve">BBVACAP, BBVACRE</t>
  </si>
  <si>
    <t xml:space="preserve">N0017</t>
  </si>
  <si>
    <t xml:space="preserve">Nota de la mesa de análisis: La calificadora no modificó la nota soberana y retiró la perspectiva negativa que mantenía desde el año pasado.</t>
  </si>
  <si>
    <t xml:space="preserve">BBVAGLP, BBVAUDI</t>
  </si>
  <si>
    <t xml:space="preserve">N0018</t>
  </si>
  <si>
    <t xml:space="preserve">El acuerdo comercial no se concretó en la fecha prevista y las bolsas asiáticas cerraron a la baja. El movimiento es consistente con lo observado en la región.</t>
  </si>
  <si>
    <t xml:space="preserve">BBVARVE, BBVAGF</t>
  </si>
  <si>
    <t xml:space="preserve">N0019</t>
  </si>
  <si>
    <t xml:space="preserve">El peso se apreció 1.1 por ciento frente al dólar tras la entrada de flujos de inversión de cartera.</t>
  </si>
  <si>
    <t xml:space="preserve">N0020</t>
  </si>
  <si>
    <t xml:space="preserve">Nota de la mesa de análisis: El peso se apreció 1.1 por ciento frente al dólar tras la entrada de flujos de inversión de cartera. El movimiento es consistente con lo observado en la región.</t>
  </si>
  <si>
    <t xml:space="preserve">BBVADOL, BBVAPC</t>
  </si>
  <si>
    <t xml:space="preserve">N0021</t>
  </si>
  <si>
    <t xml:space="preserve">Cierre de mercado: Aunque el reporte trimestral superó lo esperado, la acción cayó por el deterioro de la perspectiva del sector.</t>
  </si>
  <si>
    <t xml:space="preserve">BBVARFL, BBVARFG</t>
  </si>
  <si>
    <t xml:space="preserve">N0022</t>
  </si>
  <si>
    <t xml:space="preserve">Si bien el entorno global sigue incierto, los udibonos capturaron la compresión de spreads de la semana. El equipo de inversiones dará seguimiento en la sesión del lunes.</t>
  </si>
  <si>
    <t xml:space="preserve">N0023</t>
  </si>
  <si>
    <t xml:space="preserve">Flash informativo: Aunque la volatilidad cambiaria repuntó, los instrumentos de deuda gubernamental de corto plazo conservaron su rendimiento devengado. Se recomienda revisar la exposición de las carteras afectadas.</t>
  </si>
  <si>
    <t xml:space="preserve">BBVALIQ, BBVAPYM</t>
  </si>
  <si>
    <t xml:space="preserve">N0024</t>
  </si>
  <si>
    <t xml:space="preserve">2026-10-06</t>
  </si>
  <si>
    <t xml:space="preserve">El gobierno no logró colocar el monto objetivo de la subasta de bonos largos y tuvo que ofrecer una sobretasa. Se recomienda revisar la exposición de las carteras afectadas.</t>
  </si>
  <si>
    <t xml:space="preserve">N0025</t>
  </si>
  <si>
    <t xml:space="preserve">Nota de la mesa de análisis: La emisora recortó su guía de ingresos para el año y anunció el retraso de su plan de inversión. Se recomienda revisar la exposición de las carteras afectadas.</t>
  </si>
  <si>
    <t xml:space="preserve">BBVARFL, BBVARV</t>
  </si>
  <si>
    <t xml:space="preserve">N0026</t>
  </si>
  <si>
    <t xml:space="preserve">Los analistas mantienen sin cambio su pronóstico de tasa para el cierre de año a la espera del próximo dato de inflación. El movimiento es consistente con lo observado en la región.</t>
  </si>
  <si>
    <t xml:space="preserve">condicional</t>
  </si>
  <si>
    <t xml:space="preserve">BBVAUDI, BBVADCB</t>
  </si>
  <si>
    <t xml:space="preserve">N0027</t>
  </si>
  <si>
    <t xml:space="preserve">El comité no descartó un ajuste restrictivo adicional si la inflación no cede en los próximos meses.</t>
  </si>
  <si>
    <t xml:space="preserve">BBVACOR, BBVALIQ</t>
  </si>
  <si>
    <t xml:space="preserve">N0028</t>
  </si>
  <si>
    <t xml:space="preserve">Las ventas cayeron 0.7 por ciento en el trimestre, pero el margen operativo se expandió y la acción reaccionó al alza.</t>
  </si>
  <si>
    <t xml:space="preserve">N0029</t>
  </si>
  <si>
    <t xml:space="preserve">La empresa no recortó su dividendo pese al entorno y confirmó el calendario de pago.</t>
  </si>
  <si>
    <t xml:space="preserve">N0030</t>
  </si>
  <si>
    <t xml:space="preserve">El rendimiento del bono a treinta años subió 25 puntos base y generó minusvalías en los fondos de larga duración. La información se actualizará con el cierre oficial.</t>
  </si>
  <si>
    <t xml:space="preserve">N0031</t>
  </si>
  <si>
    <t xml:space="preserve">Nota de la mesa de análisis: La inflación subyacente no sorprendió al alza y se mantuvo dentro del rango objetivo.</t>
  </si>
  <si>
    <t xml:space="preserve">BBVADD, BBVAPYM</t>
  </si>
  <si>
    <t xml:space="preserve">N0032</t>
  </si>
  <si>
    <t xml:space="preserve">El índice retrocedió 0.4 por ciento en la sesión, con el sector financiero liderando las pérdidas.</t>
  </si>
  <si>
    <t xml:space="preserve">N0033</t>
  </si>
  <si>
    <t xml:space="preserve">El proveedor del índice global anunció su revisión semestral de componentes, programada para marzo.</t>
  </si>
  <si>
    <t xml:space="preserve">BBVAEMG, BBVAUS</t>
  </si>
  <si>
    <t xml:space="preserve">N0034</t>
  </si>
  <si>
    <t xml:space="preserve">Aunque el reporte trimestral superó lo esperado, la acción cayó por el deterioro de la perspectiva del sector.</t>
  </si>
  <si>
    <t xml:space="preserve">N0035</t>
  </si>
  <si>
    <t xml:space="preserve">Banxico publicará la minuta de su última decisión de política monetaria el jueves de la próxima semana.</t>
  </si>
  <si>
    <t xml:space="preserve">BBVAPYM, BBVAGUB</t>
  </si>
  <si>
    <t xml:space="preserve">N0036</t>
  </si>
  <si>
    <t xml:space="preserve">Cierre de mercado: El fondo actualizó su prospecto para precisar la metodología de valuación de instrumentos de deuda.</t>
  </si>
  <si>
    <t xml:space="preserve">N0037</t>
  </si>
  <si>
    <t xml:space="preserve">Resumen diario de mercados: El gobierno no logró colocar el monto objetivo de la subasta de bonos largos y tuvo que ofrecer una sobretasa. Se recomienda revisar la exposición de las carteras afectadas.</t>
  </si>
  <si>
    <t xml:space="preserve">N0038</t>
  </si>
  <si>
    <t xml:space="preserve">Comentario semanal: El índice del dólar alcanzó su nivel más alto del año y presionó a las divisas de mercados emergentes. El equipo de inversiones dará seguimiento en la sesión del lunes.</t>
  </si>
  <si>
    <t xml:space="preserve">BBVADOL, BBVAEUR</t>
  </si>
  <si>
    <t xml:space="preserve">N0039</t>
  </si>
  <si>
    <t xml:space="preserve">Cierre de mercado: La curva de bonos M se aplanó tras el recorte de tasa, con ganancias de capital en los plazos largos.</t>
  </si>
  <si>
    <t xml:space="preserve">BBVADLP, BBVAMRF</t>
  </si>
  <si>
    <t xml:space="preserve">N0040</t>
  </si>
  <si>
    <t xml:space="preserve">El tipo de cambio se depreció 0.7 por ciento en la jornada ante la aversión al riesgo global.</t>
  </si>
  <si>
    <t xml:space="preserve">BBVAEUR, BBVAPC</t>
  </si>
  <si>
    <t xml:space="preserve">N0041</t>
  </si>
  <si>
    <t xml:space="preserve">El acuerdo comercial no se concretó en la fecha prevista y las bolsas asiáticas cerraron a la baja.</t>
  </si>
  <si>
    <t xml:space="preserve">BBVACR, BBVANDQ</t>
  </si>
  <si>
    <t xml:space="preserve">N0042</t>
  </si>
  <si>
    <t xml:space="preserve">A pesar del buen dato de empleo, el componente de servicios de la inflación volvió a presionar las tasas de corto plazo. El movimiento es consistente con lo observado en la región.</t>
  </si>
  <si>
    <t xml:space="preserve">N0043</t>
  </si>
  <si>
    <t xml:space="preserve">La curva de bonos M se aplanó tras el recorte de tasa, con ganancias de capital en los plazos largos.</t>
  </si>
  <si>
    <t xml:space="preserve">BBVADGA, BBVAGLP</t>
  </si>
  <si>
    <t xml:space="preserve">N0044</t>
  </si>
  <si>
    <t xml:space="preserve">Cierre de mercado: La emisora convocó a su asamblea ordinaria de accionistas para el próximo enero.</t>
  </si>
  <si>
    <t xml:space="preserve">BBVARFG, BBVARFL</t>
  </si>
  <si>
    <t xml:space="preserve">N0045</t>
  </si>
  <si>
    <t xml:space="preserve">Nota de la mesa de análisis: Las ventas cayeron 0.7 por ciento en el trimestre, pero el margen operativo se expandió y la acción reaccionó al alza. El equipo de inversiones dará seguimiento en la sesión del lunes.</t>
  </si>
  <si>
    <t xml:space="preserve">N0046</t>
  </si>
  <si>
    <t xml:space="preserve">Flash informativo: Se registraron salidas netas de recursos en fondos de liquidez durante la última semana. La información se actualizará con el cierre oficial.</t>
  </si>
  <si>
    <t xml:space="preserve">BBVAUDI, BBVALIQ</t>
  </si>
  <si>
    <t xml:space="preserve">N0047</t>
  </si>
  <si>
    <t xml:space="preserve">Si bien el diferencial de tasas se estrechó, el peso mantuvo su fortaleza frente al dólar durante la semana. Se recomienda revisar la exposición de las carteras afectadas.</t>
  </si>
  <si>
    <t xml:space="preserve">N0048</t>
  </si>
  <si>
    <t xml:space="preserve">Aunque la volatilidad cambiaria repuntó, los instrumentos de deuda gubernamental de corto plazo conservaron su rendimiento devengado.</t>
  </si>
  <si>
    <t xml:space="preserve">BBVALIQ, BBVAUDI</t>
  </si>
  <si>
    <t xml:space="preserve">N0049</t>
  </si>
  <si>
    <t xml:space="preserve">Las bolsas europeas retrocedieron 0.7 por ciento ante la revisión a la baja del crecimiento de la región.</t>
  </si>
  <si>
    <t xml:space="preserve">BBVARFG, BBVASIC</t>
  </si>
  <si>
    <t xml:space="preserve">N0050</t>
  </si>
  <si>
    <t xml:space="preserve">Nota de la mesa de análisis: A pesar del buen dato de empleo, el componente de servicios de la inflación volvió a presionar las tasas de corto plazo. La información se actualizará con el cierre oficial.</t>
  </si>
  <si>
    <t xml:space="preserve">BBVAGOB, B+EDUCA</t>
  </si>
  <si>
    <t xml:space="preserve">N0051</t>
  </si>
  <si>
    <t xml:space="preserve">El fondo cerró el mes con minusvalía de 0.7 por ciento, pero el devengo acumulado del año sigue en terreno positivo y la duración juega a favor. El movimiento es consistente con lo observado en la región.</t>
  </si>
  <si>
    <t xml:space="preserve">BBVAUDI, BBVAMRF</t>
  </si>
  <si>
    <t xml:space="preserve">N0052</t>
  </si>
  <si>
    <t xml:space="preserve">Se registraron salidas netas de recursos en fondos de liquidez durante la última semana. El equipo de inversiones dará seguimiento en la sesión del lunes.</t>
  </si>
  <si>
    <t xml:space="preserve">BBVARF, BBVAPYM</t>
  </si>
  <si>
    <t xml:space="preserve">N0053</t>
  </si>
  <si>
    <t xml:space="preserve">Si bien el diferencial de tasas se estrechó, el peso mantuvo su fortaleza frente al dólar durante la semana. El equipo de inversiones dará seguimiento en la sesión del lunes.</t>
  </si>
  <si>
    <t xml:space="preserve">N0054</t>
  </si>
  <si>
    <t xml:space="preserve">Nota de la mesa de análisis: A pesar de la jornada negativa en Wall Street, el mercado local cerró al alza por flujos de inversionistas extranjeros.</t>
  </si>
  <si>
    <t xml:space="preserve">N0055</t>
  </si>
  <si>
    <t xml:space="preserve">La inflación general se aceleró a 1.1 por ciento anual y presiona las expectativas de tasa de corto plazo.</t>
  </si>
  <si>
    <t xml:space="preserve">BBVAGOB, BBVARF</t>
  </si>
  <si>
    <t xml:space="preserve">N0056</t>
  </si>
  <si>
    <t xml:space="preserve">Las ventas cayeron 4.8 por ciento en el trimestre, pero el margen operativo se expandió y la acción reaccionó al alza. La información se actualizará con el cierre oficial.</t>
  </si>
  <si>
    <t xml:space="preserve">N0057</t>
  </si>
  <si>
    <t xml:space="preserve">El peso se apreció 3.2 por ciento frente al dólar tras la entrada de flujos de inversión de cartera. Se recomienda revisar la exposición de las carteras afectadas.</t>
  </si>
  <si>
    <t xml:space="preserve">N0058</t>
  </si>
  <si>
    <t xml:space="preserve">Comentario semanal: La inflación subyacente no sorprendió al alza y se mantuvo dentro del rango objetivo.</t>
  </si>
  <si>
    <t xml:space="preserve">BBVAGBP, BBVADD</t>
  </si>
  <si>
    <t xml:space="preserve">N0059</t>
  </si>
  <si>
    <t xml:space="preserve">Si bien el entorno global sigue incierto, los udibonos capturaron la compresión de spreads de la semana. El movimiento es consistente con lo observado en la región.</t>
  </si>
  <si>
    <t xml:space="preserve">BBVAUDI, BBVAGLP</t>
  </si>
  <si>
    <t xml:space="preserve">N0060</t>
  </si>
  <si>
    <t xml:space="preserve">El tipo de cambio operó en un rango estrecho a la espera del dato de inflación de Estados Unidos. Se recomienda revisar la exposición de las carteras afectadas.</t>
  </si>
  <si>
    <t xml:space="preserve">N0061</t>
  </si>
  <si>
    <t xml:space="preserve">Nota de la mesa de análisis: El peso se apreció 1.1 por ciento frente al dólar tras la entrada de flujos de inversión de cartera.</t>
  </si>
  <si>
    <t xml:space="preserve">N0062</t>
  </si>
  <si>
    <t xml:space="preserve">El rendimiento del bono a diez años cedió 35 puntos base en la semana ante la expectativa de un ciclo de recortes. Se recomienda revisar la exposición de las carteras afectadas.</t>
  </si>
  <si>
    <t xml:space="preserve">BBVACOR, BBVAUDI</t>
  </si>
  <si>
    <t xml:space="preserve">N0063</t>
  </si>
  <si>
    <t xml:space="preserve">Comentario semanal: Si bien el entorno global sigue incierto, los udibonos capturaron la compresión de spreads de la semana. El movimiento es consistente con lo observado en la región.</t>
  </si>
  <si>
    <t xml:space="preserve">N0064</t>
  </si>
  <si>
    <t xml:space="preserve">Resumen diario de mercados: El índice de referencia de la bolsa mexicana avanzó 1.1 por ciento impulsado por el sector consumo.</t>
  </si>
  <si>
    <t xml:space="preserve">N0065</t>
  </si>
  <si>
    <t xml:space="preserve">Resumen diario de mercados: La Reserva Federal no endureció su discurso y el mercado accionario global reaccionó al alza.</t>
  </si>
  <si>
    <t xml:space="preserve">BBVACAP, BBVAUS</t>
  </si>
  <si>
    <t xml:space="preserve">N0066</t>
  </si>
  <si>
    <t xml:space="preserve">El banco central no modificará la tasa en la reunión de noviembre, lo que da visibilidad al carry de los fondos de deuda de corto plazo. El equipo de inversiones dará seguimiento en la sesión del lunes.</t>
  </si>
  <si>
    <t xml:space="preserve">BBVAPZO, BBVACOR</t>
  </si>
  <si>
    <t xml:space="preserve">N0067</t>
  </si>
  <si>
    <t xml:space="preserve">Aunque la inflación estadounidense cedió, el mercado accionario cayó por el temor a una desaceleración más profunda. La información se actualizará con el cierre oficial.</t>
  </si>
  <si>
    <t xml:space="preserve">BBVAGF, BBVANSH</t>
  </si>
  <si>
    <t xml:space="preserve">N0068</t>
  </si>
  <si>
    <t xml:space="preserve">Nota de la mesa de análisis: Aunque el reporte trimestral superó lo esperado, la acción cayó por el deterioro de la perspectiva del sector. El equipo de inversiones dará seguimiento en la sesión del lunes.</t>
  </si>
  <si>
    <t xml:space="preserve">N0069</t>
  </si>
  <si>
    <t xml:space="preserve">Resumen diario de mercados: La emisora convocó a su asamblea ordinaria de accionistas para el próximo noviembre. Se recomienda revisar la exposición de las carteras afectadas.</t>
  </si>
  <si>
    <t xml:space="preserve">N0070</t>
  </si>
  <si>
    <t xml:space="preserve">Flash informativo: El sector tecnológico lideró el avance global con reportes trimestrales por arriba del consenso. El movimiento es consistente con lo observado en la región.</t>
  </si>
  <si>
    <t xml:space="preserve">B+RVUS2, BBVAEMG</t>
  </si>
  <si>
    <t xml:space="preserve">N0071</t>
  </si>
  <si>
    <t xml:space="preserve">La bolsa informó la recomposición trimestral de su índice principal, sin cambios en los pesos de las emisoras mayores.</t>
  </si>
  <si>
    <t xml:space="preserve">N0072</t>
  </si>
  <si>
    <t xml:space="preserve">El mercado descuenta un escenario de tasas estables, aunque el consenso está dividido sobre el momento del próximo movimiento. El movimiento es consistente con lo observado en la región.</t>
  </si>
  <si>
    <t xml:space="preserve">N0073</t>
  </si>
  <si>
    <t xml:space="preserve">Las ventas cayeron 1.1 por ciento en el trimestre, pero el margen operativo se expandió y la acción reaccionó al alza. La información se actualizará con el cierre oficial.</t>
  </si>
  <si>
    <t xml:space="preserve">N0074</t>
  </si>
  <si>
    <t xml:space="preserve">Cierre de mercado: El proveedor del índice global anunció su revisión semestral de componentes, programada para marzo. El movimiento es consistente con lo observado en la región.</t>
  </si>
  <si>
    <t xml:space="preserve">BBVARVE, BBVAESG</t>
  </si>
  <si>
    <t xml:space="preserve">N0075</t>
  </si>
  <si>
    <t xml:space="preserve">Nota de la mesa de análisis: Banxico recortó la tasa de referencia en 10 puntos base; las tasas de fondeo a un día siguen en niveles atractivos para los fondos de liquidez. La información se actualizará con el cierre oficial.</t>
  </si>
  <si>
    <t xml:space="preserve">BBVAGUB, BBVATES</t>
  </si>
  <si>
    <t xml:space="preserve">N0076</t>
  </si>
  <si>
    <t xml:space="preserve">El fondo actualizó su prospecto para precisar la metodología de valuación de instrumentos de deuda.</t>
  </si>
  <si>
    <t xml:space="preserve">BBVADGA, BBVAMRF</t>
  </si>
  <si>
    <t xml:space="preserve">N0077</t>
  </si>
  <si>
    <t xml:space="preserve">Resumen diario de mercados: El índice del dólar alcanzó su nivel más alto del año y presionó a las divisas de mercados emergentes. La información se actualizará con el cierre oficial.</t>
  </si>
  <si>
    <t xml:space="preserve">N0078</t>
  </si>
  <si>
    <t xml:space="preserve">Flash informativo: El índice cerró prácticamente sin cambio, con avances en consumo y retrocesos en materiales.</t>
  </si>
  <si>
    <t xml:space="preserve">N0079</t>
  </si>
  <si>
    <t xml:space="preserve">Flash informativo: La empresa no recortó su dividendo pese al entorno y confirmó el calendario de pago. El equipo de inversiones dará seguimiento en la sesión del lunes.</t>
  </si>
  <si>
    <t xml:space="preserve">N0080</t>
  </si>
  <si>
    <t xml:space="preserve">Nota de la mesa de análisis: La tasa objetivo se mantuvo sin cambio en la decisión de diciembre, en línea con el consenso del mercado.</t>
  </si>
  <si>
    <t xml:space="preserve">BBVAGB2, BBVALIQ</t>
  </si>
  <si>
    <t xml:space="preserve">N0081</t>
  </si>
  <si>
    <t xml:space="preserve">Resumen diario de mercados: La Secretaría de Hacienda publicó el calendario de subastas del próximo trimestre sin cambios relevantes. La información se actualizará con el cierre oficial.</t>
  </si>
  <si>
    <t xml:space="preserve">BBVACOR, BBVAMRF</t>
  </si>
  <si>
    <t xml:space="preserve">N0082</t>
  </si>
  <si>
    <t xml:space="preserve">Cierre de mercado: El índice de referencia de la bolsa mexicana avanzó 3.2 por ciento impulsado por el sector consumo.</t>
  </si>
  <si>
    <t xml:space="preserve">BBVARV, BBVARFG</t>
  </si>
  <si>
    <t xml:space="preserve">N0083</t>
  </si>
  <si>
    <t xml:space="preserve">Las ventas cayeron 4.8 por ciento en el trimestre, pero el margen operativo se expandió y la acción reaccionó al alza.</t>
  </si>
  <si>
    <t xml:space="preserve">N0084</t>
  </si>
  <si>
    <t xml:space="preserve">Resumen diario de mercados: El banco central publicó el calendario de subastas de coberturas cambiarias para el próximo trimestre.</t>
  </si>
  <si>
    <t xml:space="preserve">N0085</t>
  </si>
  <si>
    <t xml:space="preserve">Resumen diario de mercados: La curva de bonos M se aplanó tras el recorte de tasa, con ganancias de capital en los plazos largos.</t>
  </si>
  <si>
    <t xml:space="preserve">BBVADLP, BBVAGLP</t>
  </si>
  <si>
    <t xml:space="preserve">N0086</t>
  </si>
  <si>
    <t xml:space="preserve">Resumen diario de mercados: Los estrategas mantienen su objetivo de cierre de año y esperan el dato de inflación antes de ajustar posiciones.</t>
  </si>
  <si>
    <t xml:space="preserve">BBVACR, BBVAESG</t>
  </si>
  <si>
    <t xml:space="preserve">N0087</t>
  </si>
  <si>
    <t xml:space="preserve">Los analistas mantienen sin cambio su pronóstico de tasa para el cierre de año a la espera del próximo dato de inflación.</t>
  </si>
  <si>
    <t xml:space="preserve">N0088</t>
  </si>
  <si>
    <t xml:space="preserve">La inflación general se aceleró a 1.6 por ciento anual y presiona las expectativas de tasa de corto plazo. El movimiento es consistente con lo observado en la región.</t>
  </si>
  <si>
    <t xml:space="preserve">BBVACOR, B+EDUCA</t>
  </si>
  <si>
    <t xml:space="preserve">N0089</t>
  </si>
  <si>
    <t xml:space="preserve">La inflación subyacente no sorprendió al alza y se mantuvo dentro del rango objetivo.</t>
  </si>
  <si>
    <t xml:space="preserve">BBVAGOB, BBVADD</t>
  </si>
  <si>
    <t xml:space="preserve">N0090</t>
  </si>
  <si>
    <t xml:space="preserve">Comentario semanal: El acuerdo comercial no se concretó en la fecha prevista y las bolsas asiáticas cerraron a la baja. El movimiento es consistente con lo observado en la región.</t>
  </si>
  <si>
    <t xml:space="preserve">BBVAGF, BBVARVE</t>
  </si>
  <si>
    <t xml:space="preserve">N0091</t>
  </si>
  <si>
    <t xml:space="preserve">La tasa objetivo se mantuvo sin cambio en la decisión de enero, en línea con el consenso del mercado. El movimiento es consistente con lo observado en la región.</t>
  </si>
  <si>
    <t xml:space="preserve">BBVAPZO, BBVATES</t>
  </si>
  <si>
    <t xml:space="preserve">N0092</t>
  </si>
  <si>
    <t xml:space="preserve">Cierre de mercado: La emisora reportó utilidades por arriba del consenso y elevó su guía para el cierre del año. La información se actualizará con el cierre oficial.</t>
  </si>
  <si>
    <t xml:space="preserve">N0093</t>
  </si>
  <si>
    <t xml:space="preserve">La Secretaría de Hacienda publicó el calendario de subastas del próximo trimestre sin cambios relevantes.</t>
  </si>
  <si>
    <t xml:space="preserve">BBVADLP, BBVACOR</t>
  </si>
  <si>
    <t xml:space="preserve">N0094</t>
  </si>
  <si>
    <t xml:space="preserve">Resumen diario de mercados: El proveedor del índice global anunció su revisión semestral de componentes, programada para diciembre.</t>
  </si>
  <si>
    <t xml:space="preserve">BBVACAP, BBVARFL</t>
  </si>
  <si>
    <t xml:space="preserve">N0095</t>
  </si>
  <si>
    <t xml:space="preserve">El fondo cerró el mes con minusvalía de 1.1 por ciento, pero el devengo acumulado del año sigue en terreno positivo y la duración juega a favor.</t>
  </si>
  <si>
    <t xml:space="preserve">N0096</t>
  </si>
  <si>
    <t xml:space="preserve">Comentario semanal: La empresa no recortó su dividendo pese al entorno y confirmó el calendario de pago.</t>
  </si>
  <si>
    <t xml:space="preserve">N0097</t>
  </si>
  <si>
    <t xml:space="preserve">Nota de la mesa de análisis: Banxico recortó la tasa de referencia en 50 puntos base; las tasas de fondeo a un día siguen en niveles atractivos para los fondos de liquidez.</t>
  </si>
  <si>
    <t xml:space="preserve">BBVAUDI, BBVATES</t>
  </si>
  <si>
    <t xml:space="preserve">N0098</t>
  </si>
  <si>
    <t xml:space="preserve">La prima por plazo no se comprimió pese al recorte y la parte larga de la curva sigue castigada. La información se actualizará con el cierre oficial.</t>
  </si>
  <si>
    <t xml:space="preserve">N0099</t>
  </si>
  <si>
    <t xml:space="preserve">Cierre de mercado: Aunque la inflación estadounidense cedió, el mercado accionario cayó por el temor a una desaceleración más profunda.</t>
  </si>
  <si>
    <t xml:space="preserve">BBVARFG, BBVAUS</t>
  </si>
  <si>
    <t xml:space="preserve">N0100</t>
  </si>
  <si>
    <t xml:space="preserve">La inflación general se aceleró a 4.8 por ciento anual y presiona las expectativas de tasa de corto plazo.</t>
  </si>
  <si>
    <t xml:space="preserve">BBVAGLP, BBVAGB2</t>
  </si>
  <si>
    <t xml:space="preserve">N0101</t>
  </si>
  <si>
    <t xml:space="preserve">Banxico recortó la tasa de referencia en 10 puntos base; las tasas de fondeo a un día siguen en niveles atractivos para los fondos de liquidez.</t>
  </si>
  <si>
    <t xml:space="preserve">BBVACOR, BBVADD</t>
  </si>
  <si>
    <t xml:space="preserve">N0102</t>
  </si>
  <si>
    <t xml:space="preserve">Aunque la inflación estadounidense cedió, el mercado accionario cayó por el temor a una desaceleración más profunda. El movimiento es consistente con lo observado en la región.</t>
  </si>
  <si>
    <t xml:space="preserve">BBVANDQ, BBVAUS</t>
  </si>
  <si>
    <t xml:space="preserve">N0103</t>
  </si>
  <si>
    <t xml:space="preserve">Cierre de mercado: Los estrategas mantienen su objetivo de cierre de año y esperan el dato de inflación antes de ajustar posiciones.</t>
  </si>
  <si>
    <t xml:space="preserve">B+RVUS2, BBVANSH</t>
  </si>
  <si>
    <t xml:space="preserve">N0104</t>
  </si>
  <si>
    <t xml:space="preserve">El tipo de cambio se depreció 3.2 por ciento en la jornada ante la aversión al riesgo global. El movimiento es consistente con lo observado en la región.</t>
  </si>
  <si>
    <t xml:space="preserve">N0105</t>
  </si>
  <si>
    <t xml:space="preserve">Resumen diario de mercados: El consenso no anticipa movimientos relevantes en el tipo de cambio mientras no cambie el diferencial de tasas. El movimiento es consistente con lo observado en la región.</t>
  </si>
  <si>
    <t xml:space="preserve">N0106</t>
  </si>
  <si>
    <t xml:space="preserve">Resumen diario de mercados: La tasa objetivo se mantuvo sin cambio en la decisión de noviembre, en línea con el consenso del mercado.</t>
  </si>
  <si>
    <t xml:space="preserve">BBVADD, BBVATES</t>
  </si>
  <si>
    <t xml:space="preserve">N0107</t>
  </si>
  <si>
    <t xml:space="preserve">Nota de la mesa de análisis: La emisora convocó a su asamblea ordinaria de accionistas para el próximo enero. El equipo de inversiones dará seguimiento en la sesión del lunes.</t>
  </si>
  <si>
    <t xml:space="preserve">N0108</t>
  </si>
  <si>
    <t xml:space="preserve">La inflación general se aceleró a 5.5 por ciento anual y presiona las expectativas de tasa de corto plazo.</t>
  </si>
  <si>
    <t xml:space="preserve">B+EDUCA, BBVARF</t>
  </si>
  <si>
    <t xml:space="preserve">N0109</t>
  </si>
  <si>
    <t xml:space="preserve">Nota de la mesa de análisis: El tipo de cambio se depreció 3.2 por ciento en la jornada ante la aversión al riesgo global. Se recomienda revisar la exposición de las carteras afectadas.</t>
  </si>
  <si>
    <t xml:space="preserve">N0110</t>
  </si>
  <si>
    <t xml:space="preserve">Comentario semanal: El consenso no anticipa movimientos relevantes en el tipo de cambio mientras no cambie el diferencial de tasas.</t>
  </si>
  <si>
    <t xml:space="preserve">N0111</t>
  </si>
  <si>
    <t xml:space="preserve">Aunque la inflación se moderó, el aumento de la prima de riesgo soberano empujó al alza los rendimientos de largo plazo.</t>
  </si>
  <si>
    <t xml:space="preserve">N0112</t>
  </si>
  <si>
    <t xml:space="preserve">Flash informativo: Aunque la volatilidad cambiaria repuntó, los instrumentos de deuda gubernamental de corto plazo conservaron su rendimiento devengado. El movimiento es consistente con lo observado en la región.</t>
  </si>
  <si>
    <t xml:space="preserve">BBVAGB2, BBVAGUB</t>
  </si>
  <si>
    <t xml:space="preserve">N0113</t>
  </si>
  <si>
    <t xml:space="preserve">El índice cerró prácticamente sin cambio, con avances en consumo y retrocesos en materiales. El movimiento es consistente con lo observado en la región.</t>
  </si>
  <si>
    <t xml:space="preserve">N0114</t>
  </si>
  <si>
    <t xml:space="preserve">Cierre de mercado: El índice del dólar alcanzó su nivel más alto del año y presionó a las divisas de mercados emergentes. El equipo de inversiones dará seguimiento en la sesión del lunes.</t>
  </si>
  <si>
    <t xml:space="preserve">N0115</t>
  </si>
  <si>
    <t xml:space="preserve">Nota de la mesa de análisis: La bolsa informó la recomposición trimestral de su índice principal, sin cambios en los pesos de las emisoras mayores. El movimiento es consistente con lo observado en la región.</t>
  </si>
  <si>
    <t xml:space="preserve">N0116</t>
  </si>
  <si>
    <t xml:space="preserve">La prima por plazo no se comprimió pese al recorte y la parte larga de la curva sigue castigada.</t>
  </si>
  <si>
    <t xml:space="preserve">BBVAMRF, BBVADGA</t>
  </si>
  <si>
    <t xml:space="preserve">N0117</t>
  </si>
  <si>
    <t xml:space="preserve">Nota de la mesa de análisis: La escalada de tensiones comerciales golpeó a los mercados accionarios de economías emergentes.</t>
  </si>
  <si>
    <t xml:space="preserve">BBVAGF, BBVAESG</t>
  </si>
  <si>
    <t xml:space="preserve">N0118</t>
  </si>
  <si>
    <t xml:space="preserve">La operadora informó un cambio administrativo en el horario de corte de las órdenes de los fondos de liquidez.</t>
  </si>
  <si>
    <t xml:space="preserve">BBVAGUB, BBVACOR</t>
  </si>
  <si>
    <t xml:space="preserve">N0119</t>
  </si>
  <si>
    <t xml:space="preserve">Pese al repunte de la volatilidad implícita, los índices globales sostuvieron las ganancias de la semana. Se recomienda revisar la exposición de las carteras afectadas.</t>
  </si>
  <si>
    <t xml:space="preserve">N0120</t>
  </si>
  <si>
    <t xml:space="preserve">El sector tecnológico lideró el avance global con reportes trimestrales por arriba del consenso.</t>
  </si>
  <si>
    <t xml:space="preserve">BBVANSH, BBVARFL</t>
  </si>
  <si>
    <t xml:space="preserve">N0121</t>
  </si>
  <si>
    <t xml:space="preserve">Flash informativo: El peso cerró con una ganancia marginal de 3.2 por ciento en la sesión, pero acumula una depreciación relevante en el mes. El movimiento es consistente con lo observado en la región.</t>
  </si>
  <si>
    <t xml:space="preserve">N0122</t>
  </si>
  <si>
    <t xml:space="preserve">Resumen diario de mercados: La emisora recortó su guía de ingresos para el año y anunció el retraso de su plan de inversión. El movimiento es consistente con lo observado en la región.</t>
  </si>
  <si>
    <t xml:space="preserve">N0123</t>
  </si>
  <si>
    <t xml:space="preserve">Nota de la mesa de análisis: El plan de expansión no obtuvo la autorización regulatoria esperada. El movimiento es consistente con lo observado en la región.</t>
  </si>
  <si>
    <t xml:space="preserve">N0124</t>
  </si>
  <si>
    <t xml:space="preserve">El gobierno no logró colocar el monto objetivo de la subasta de bonos largos y tuvo que ofrecer una sobretasa. La información se actualizará con el cierre oficial.</t>
  </si>
  <si>
    <t xml:space="preserve">N0125</t>
  </si>
  <si>
    <t xml:space="preserve">Cierre de mercado: El índice cerró prácticamente sin cambio, con avances en consumo y retrocesos en materiales. El equipo de inversiones dará seguimiento en la sesión del lunes.</t>
  </si>
  <si>
    <t xml:space="preserve">N0126</t>
  </si>
  <si>
    <t xml:space="preserve">Flash informativo: Aunque la inflación estadounidense cedió, el mercado accionario cayó por el temor a una desaceleración más profunda.</t>
  </si>
  <si>
    <t xml:space="preserve">B+RVUS2, BBVAUS</t>
  </si>
  <si>
    <t xml:space="preserve">N0127</t>
  </si>
  <si>
    <t xml:space="preserve">Comentario semanal: El banco central publicó el calendario de subastas de coberturas cambiarias para el próximo trimestre.</t>
  </si>
  <si>
    <t xml:space="preserve">N0128</t>
  </si>
  <si>
    <t xml:space="preserve">La inflación subyacente no sorprendió al alza y se mantuvo dentro del rango objetivo. La información se actualizará con el cierre oficial.</t>
  </si>
  <si>
    <t xml:space="preserve">BBVARF, BBVAGB2</t>
  </si>
  <si>
    <t xml:space="preserve">N0129</t>
  </si>
  <si>
    <t xml:space="preserve">El rendimiento del bono a treinta años subió 35 puntos base y generó minusvalías en los fondos de larga duración. Se recomienda revisar la exposición de las carteras afectadas.</t>
  </si>
  <si>
    <t xml:space="preserve">N0130</t>
  </si>
  <si>
    <t xml:space="preserve">Resumen diario de mercados: El peso se apreció 1.6 por ciento frente al dólar tras la entrada de flujos de inversión de cartera.</t>
  </si>
  <si>
    <t xml:space="preserve">N0131</t>
  </si>
  <si>
    <t xml:space="preserve">El rendimiento del bono a diez años cedió 50 puntos base en la semana ante la expectativa de un ciclo de recortes.</t>
  </si>
  <si>
    <t xml:space="preserve">N0132</t>
  </si>
  <si>
    <t xml:space="preserve">El proveedor del índice global anunció su revisión semestral de componentes, programada para enero.</t>
  </si>
  <si>
    <t xml:space="preserve">BBVADIG, BBVAUS</t>
  </si>
  <si>
    <t xml:space="preserve">N0133</t>
  </si>
  <si>
    <t xml:space="preserve">Flash informativo: La inflación subyacente no sorprendió al alza y se mantuvo dentro del rango objetivo.</t>
  </si>
  <si>
    <t xml:space="preserve">BBVACOR, BBVAGB2</t>
  </si>
  <si>
    <t xml:space="preserve">N0134</t>
  </si>
  <si>
    <t xml:space="preserve">Nota de la mesa de análisis: El tipo de cambio se depreció 5.5 por ciento en la jornada ante la aversión al riesgo global. La información se actualizará con el cierre oficial.</t>
  </si>
  <si>
    <t xml:space="preserve">N0135</t>
  </si>
  <si>
    <t xml:space="preserve">El plan de expansión no obtuvo la autorización regulatoria esperada. Se recomienda revisar la exposición de las carteras afectadas.</t>
  </si>
  <si>
    <t xml:space="preserve">N0136</t>
  </si>
  <si>
    <t xml:space="preserve">Nota de la mesa de análisis: La prima por plazo no se comprimió pese al recorte y la parte larga de la curva sigue castigada.</t>
  </si>
  <si>
    <t xml:space="preserve">BBVADGA, BBVACOR</t>
  </si>
  <si>
    <t xml:space="preserve">N0137</t>
  </si>
  <si>
    <t xml:space="preserve">Flash informativo: La compañía no alcanzó las estimaciones de utilidad por acción y tampoco dio una guía para el siguiente trimestre. El movimiento es consistente con lo observado en la región.</t>
  </si>
  <si>
    <t xml:space="preserve">N0138</t>
  </si>
  <si>
    <t xml:space="preserve">Resumen diario de mercados: La temporada de reportes trimestrales en Estados Unidos inicia la próxima semana con el sector financiero.</t>
  </si>
  <si>
    <t xml:space="preserve">N0139</t>
  </si>
  <si>
    <t xml:space="preserve">El índice de referencia de la bolsa mexicana avanzó 3.2 por ciento impulsado por el sector consumo. La información se actualizará con el cierre oficial.</t>
  </si>
  <si>
    <t xml:space="preserve">N0140</t>
  </si>
  <si>
    <t xml:space="preserve">Nota de la mesa de análisis: La inflación general se aceleró a 0.4 por ciento anual y presiona las expectativas de tasa de corto plazo. El movimiento es consistente con lo observado en la región.</t>
  </si>
  <si>
    <t xml:space="preserve">BBVAGB2, BBVACOR</t>
  </si>
  <si>
    <t xml:space="preserve">N0141</t>
  </si>
  <si>
    <t xml:space="preserve">Nota de la mesa de análisis: El acuerdo comercial no se concretó en la fecha prevista y las bolsas asiáticas cerraron a la baja. La información se actualizará con el cierre oficial.</t>
  </si>
  <si>
    <t xml:space="preserve">BBVACR, B+RVUS2</t>
  </si>
  <si>
    <t xml:space="preserve">N0142</t>
  </si>
  <si>
    <t xml:space="preserve">Nota de la mesa de análisis: El consenso no anticipa movimientos relevantes en el tipo de cambio mientras no cambie el diferencial de tasas.</t>
  </si>
  <si>
    <t xml:space="preserve">N0143</t>
  </si>
  <si>
    <t xml:space="preserve">Resumen diario de mercados: La prima por plazo no se comprimió pese al recorte y la parte larga de la curva sigue castigada. El movimiento es consistente con lo observado en la región.</t>
  </si>
  <si>
    <t xml:space="preserve">N0144</t>
  </si>
  <si>
    <t xml:space="preserve">Cierre de mercado: El tipo de cambio se depreció 3.2 por ciento en la jornada ante la aversión al riesgo global. El movimiento es consistente con lo observado en la región.</t>
  </si>
  <si>
    <t xml:space="preserve">N0145</t>
  </si>
  <si>
    <t xml:space="preserve">Las ventas cayeron 3.2 por ciento en el trimestre, pero el margen operativo se expandió y la acción reaccionó al alza. El movimiento es consistente con lo observado en la región.</t>
  </si>
  <si>
    <t xml:space="preserve">N0146</t>
  </si>
  <si>
    <t xml:space="preserve">La calificadora no modificó la nota soberana y retiró la perspectiva negativa que mantenía desde el año pasado.</t>
  </si>
  <si>
    <t xml:space="preserve">N0147</t>
  </si>
  <si>
    <t xml:space="preserve">El rendimiento del bono a diez años cedió 75 puntos base en la semana ante la expectativa de un ciclo de recortes. El equipo de inversiones dará seguimiento en la sesión del lunes.</t>
  </si>
  <si>
    <t xml:space="preserve">BBVAMRF, BBVAUDI</t>
  </si>
  <si>
    <t xml:space="preserve">N0148</t>
  </si>
  <si>
    <t xml:space="preserve">Nota de la mesa de análisis: El tipo de cambio se depreció 5.5 por ciento en la jornada ante la aversión al riesgo global. Se recomienda revisar la exposición de las carteras afectadas.</t>
  </si>
  <si>
    <t xml:space="preserve">N0149</t>
  </si>
  <si>
    <t xml:space="preserve">Cierre de mercado: A pesar del buen dato de empleo, el componente de servicios de la inflación volvió a presionar las tasas de corto plazo.</t>
  </si>
  <si>
    <t xml:space="preserve">BBVADCB, BBVAPZO</t>
  </si>
  <si>
    <t xml:space="preserve">N0150</t>
  </si>
  <si>
    <t xml:space="preserve">Flash informativo: El comité no descartó un ajuste restrictivo adicional si la inflación no cede en los próximos meses.</t>
  </si>
  <si>
    <t xml:space="preserve">B+EDUCA, BBVACOR</t>
  </si>
  <si>
    <t xml:space="preserve">N0151</t>
  </si>
  <si>
    <t xml:space="preserve">El índice retrocedió 0.7 por ciento en la sesión, con el sector financiero liderando las pérdidas.</t>
  </si>
  <si>
    <t xml:space="preserve">N0152</t>
  </si>
  <si>
    <t xml:space="preserve">Cierre de mercado: La inflación subyacente no sorprendió al alza y se mantuvo dentro del rango objetivo.</t>
  </si>
  <si>
    <t xml:space="preserve">BBVADCB, BBVATES</t>
  </si>
  <si>
    <t xml:space="preserve">N0153</t>
  </si>
  <si>
    <t xml:space="preserve">Nota de la mesa de análisis: La emisora reportó utilidades por arriba del consenso y elevó su guía para el cierre del año.</t>
  </si>
  <si>
    <t xml:space="preserve">N0154</t>
  </si>
  <si>
    <t xml:space="preserve">Flash informativo: Las ventas cayeron 0.4 por ciento en el trimestre, pero el margen operativo se expandió y la acción reaccionó al alza.</t>
  </si>
  <si>
    <t xml:space="preserve">N0155</t>
  </si>
  <si>
    <t xml:space="preserve">Los estrategas mantienen su objetivo de cierre de año y esperan el dato de inflación antes de ajustar posiciones.</t>
  </si>
  <si>
    <t xml:space="preserve">BBVACR, BBVACRE</t>
  </si>
  <si>
    <t xml:space="preserve">N0156</t>
  </si>
  <si>
    <t xml:space="preserve">Nota de la mesa de análisis: Banxico publicará la minuta de su última decisión de política monetaria el jueves de la próxima semana. El equipo de inversiones dará seguimiento en la sesión del lunes.</t>
  </si>
  <si>
    <t xml:space="preserve">BBVAGLP, BBVAGOB</t>
  </si>
  <si>
    <t xml:space="preserve">N0157</t>
  </si>
  <si>
    <t xml:space="preserve">Cierre de mercado: Los principales índices accionarios de Estados Unidos cerraron con ganancias tras un dato de empleo favorable.</t>
  </si>
  <si>
    <t xml:space="preserve">BBVACRE, BBVAESG</t>
  </si>
  <si>
    <t xml:space="preserve">N0158</t>
  </si>
  <si>
    <t xml:space="preserve">El índice cerró prácticamente sin cambio, con avances en consumo y retrocesos en materiales.</t>
  </si>
  <si>
    <t xml:space="preserve">N0159</t>
  </si>
  <si>
    <t xml:space="preserve">Flash informativo: Las bolsas europeas retrocedieron 0.4 por ciento ante la revisión a la baja del crecimiento de la región. El equipo de inversiones dará seguimiento en la sesión del lunes.</t>
  </si>
  <si>
    <t xml:space="preserve">N0160</t>
  </si>
  <si>
    <t xml:space="preserve">El índice cerró prácticamente sin cambio, con avances en consumo y retrocesos en materiales. La información se actualizará con el cierre oficial.</t>
  </si>
  <si>
    <t xml:space="preserve">N0161</t>
  </si>
  <si>
    <t xml:space="preserve">Cierre de mercado: Si bien el diferencial de tasas se estrechó, el peso mantuvo su fortaleza frente al dólar durante la semana.</t>
  </si>
  <si>
    <t xml:space="preserve">N0162</t>
  </si>
  <si>
    <t xml:space="preserve">Comentario semanal: La subasta primaria de Cetes a 28 días se colocó por arriba de lo esperado, con demanda sólida de inversionistas institucionales.</t>
  </si>
  <si>
    <t xml:space="preserve">BBVARF, BBVAGOB</t>
  </si>
  <si>
    <t xml:space="preserve">N0163</t>
  </si>
  <si>
    <t xml:space="preserve">La calificadora no modificó la nota soberana y retiró la perspectiva negativa que mantenía desde el año pasado. Se recomienda revisar la exposición de las carteras afectadas.</t>
  </si>
  <si>
    <t xml:space="preserve">N0164</t>
  </si>
  <si>
    <t xml:space="preserve">Nota de la mesa de análisis: El tipo de cambio se depreció 0.7 por ciento en la jornada ante la aversión al riesgo global.</t>
  </si>
  <si>
    <t xml:space="preserve">N0165</t>
  </si>
  <si>
    <t xml:space="preserve">Comentario semanal: La calificadora no modificó la nota soberana y retiró la perspectiva negativa que mantenía desde el año pasado.</t>
  </si>
  <si>
    <t xml:space="preserve">N0166</t>
  </si>
  <si>
    <t xml:space="preserve">Flash informativo: El banco central no modificará la tasa en la reunión de marzo, lo que da visibilidad al carry de los fondos de deuda de corto plazo. El movimiento es consistente con lo observado en la región.</t>
  </si>
  <si>
    <t xml:space="preserve">BBVAGUB, BBVADCB</t>
  </si>
  <si>
    <t xml:space="preserve">N0167</t>
  </si>
  <si>
    <t xml:space="preserve">Aunque la volatilidad cambiaria repuntó, los instrumentos de deuda gubernamental de corto plazo conservaron su rendimiento devengado. El movimiento es consistente con lo observado en la región.</t>
  </si>
  <si>
    <t xml:space="preserve">BBVALIQ, B+EDUCA</t>
  </si>
  <si>
    <t xml:space="preserve">N0168</t>
  </si>
  <si>
    <t xml:space="preserve">A pesar de la jornada negativa en Wall Street, el mercado local cerró al alza por flujos de inversionistas extranjeros.</t>
  </si>
  <si>
    <t xml:space="preserve">N0169</t>
  </si>
  <si>
    <t xml:space="preserve">Nota de la mesa de análisis: La prima por plazo no se comprimió pese al recorte y la parte larga de la curva sigue castigada. Se recomienda revisar la exposición de las carteras afectadas.</t>
  </si>
  <si>
    <t xml:space="preserve">N0170</t>
  </si>
  <si>
    <t xml:space="preserve">Cierre de mercado: El rendimiento del bono a treinta años subió 75 puntos base y generó minusvalías en los fondos de larga duración. El movimiento es consistente con lo observado en la región.</t>
  </si>
  <si>
    <t xml:space="preserve">N0171</t>
  </si>
  <si>
    <t xml:space="preserve">Resumen diario de mercados: La inflación subyacente no sorprendió al alza y se mantuvo dentro del rango objetivo.</t>
  </si>
  <si>
    <t xml:space="preserve">N0172</t>
  </si>
  <si>
    <t xml:space="preserve">Si bien el diferencial de tasas se estrechó, el peso mantuvo su fortaleza frente al dólar durante la semana.</t>
  </si>
  <si>
    <t xml:space="preserve">N0173</t>
  </si>
  <si>
    <t xml:space="preserve">Flash informativo: El proveedor del índice global anunció su revisión semestral de componentes, programada para febrero. El equipo de inversiones dará seguimiento en la sesión del lunes.</t>
  </si>
  <si>
    <t xml:space="preserve">BBVASIC, BBVAESG</t>
  </si>
  <si>
    <t xml:space="preserve">N0174</t>
  </si>
  <si>
    <t xml:space="preserve">El banco central no intervino en el mercado cambiario y la moneda extendió su racha de pérdidas.</t>
  </si>
  <si>
    <t xml:space="preserve">N0175</t>
  </si>
  <si>
    <t xml:space="preserve">La curva de bonos M se aplanó tras el recorte de tasa, con ganancias de capital en los plazos largos. El equipo de inversiones dará seguimiento en la sesión del lunes.</t>
  </si>
  <si>
    <t xml:space="preserve">BBVAUDI, BBVADGA</t>
  </si>
  <si>
    <t xml:space="preserve">N0176</t>
  </si>
  <si>
    <t xml:space="preserve">Pese al repunte de la volatilidad implícita, los índices globales sostuvieron las ganancias de la semana. El movimiento es consistente con lo observado en la región.</t>
  </si>
  <si>
    <t xml:space="preserve">B+RVUS2, BBVARFL</t>
  </si>
  <si>
    <t xml:space="preserve">N0177</t>
  </si>
  <si>
    <t xml:space="preserve">El peso cerró con una ganancia marginal de 0.7 por ciento en la sesión, pero acumula una depreciación relevante en el mes. El movimiento es consistente con lo observado en la región.</t>
  </si>
  <si>
    <t xml:space="preserve">N0178</t>
  </si>
  <si>
    <t xml:space="preserve">A pesar del buen dato de empleo, el componente de servicios de la inflación volvió a presionar las tasas de corto plazo. Se recomienda revisar la exposición de las carteras afectadas.</t>
  </si>
  <si>
    <t xml:space="preserve">B+EDUCA, BBVALIQ</t>
  </si>
  <si>
    <t xml:space="preserve">N0179</t>
  </si>
  <si>
    <t xml:space="preserve">Nota de la mesa de análisis: El peso cerró con una ganancia marginal de 0.4 por ciento en la sesión, pero acumula una depreciación relevante en el mes. Se recomienda revisar la exposición de las carteras afectadas.</t>
  </si>
  <si>
    <t xml:space="preserve">N0180</t>
  </si>
  <si>
    <t xml:space="preserve">Las bolsas europeas retrocedieron 0.4 por ciento ante la revisión a la baja del crecimiento de la región.</t>
  </si>
  <si>
    <t xml:space="preserve">B+RVUS2, BBVACRE</t>
  </si>
  <si>
    <t xml:space="preserve">N0181</t>
  </si>
  <si>
    <t xml:space="preserve">Banxico recortó la tasa de referencia en 25 puntos base; las tasas de fondeo a un día siguen en niveles atractivos para los fondos de liquidez. La información se actualizará con el cierre oficial.</t>
  </si>
  <si>
    <t xml:space="preserve">BBVAGLP, B+EDUCA</t>
  </si>
  <si>
    <t xml:space="preserve">N0182</t>
  </si>
  <si>
    <t xml:space="preserve">El peso se apreció 2.3 por ciento frente al dólar tras la entrada de flujos de inversión de cartera. Se recomienda revisar la exposición de las carteras afectadas.</t>
  </si>
  <si>
    <t xml:space="preserve">N0183</t>
  </si>
  <si>
    <t xml:space="preserve">Comentario semanal: La compañía no alcanzó las estimaciones de utilidad por acción y tampoco dio una guía para el siguiente trimestre. Se recomienda revisar la exposición de las carteras afectadas.</t>
  </si>
  <si>
    <t xml:space="preserve">N0184</t>
  </si>
  <si>
    <t xml:space="preserve">Nota de la mesa de análisis: Se registraron salidas netas de recursos en fondos de liquidez durante la última semana.</t>
  </si>
  <si>
    <t xml:space="preserve">BBVALIQ, BBVAGUB</t>
  </si>
  <si>
    <t xml:space="preserve">N0185</t>
  </si>
  <si>
    <t xml:space="preserve">Resumen diario de mercados: El banco central no intervino en el mercado cambiario y la moneda extendió su racha de pérdidas.</t>
  </si>
  <si>
    <t xml:space="preserve">N0186</t>
  </si>
  <si>
    <t xml:space="preserve">Resumen diario de mercados: Banxico recortó la tasa de referencia en 15 puntos base; las tasas de fondeo a un día siguen en niveles atractivos para los fondos de liquidez. El movimiento es consistente con lo observado en la región.</t>
  </si>
  <si>
    <t xml:space="preserve">BBVAGUB, BBVAGLP</t>
  </si>
  <si>
    <t xml:space="preserve">N0187</t>
  </si>
  <si>
    <t xml:space="preserve">Nota de la mesa de análisis: Los principales índices accionarios de Estados Unidos cerraron con ganancias tras un dato de empleo favorable. Se recomienda revisar la exposición de las carteras afectadas.</t>
  </si>
  <si>
    <t xml:space="preserve">BBVACRE, BBVANDQ</t>
  </si>
  <si>
    <t xml:space="preserve">N0188</t>
  </si>
  <si>
    <t xml:space="preserve">Resumen diario de mercados: El rendimiento del bono a treinta años subió 10 puntos base y generó minusvalías en los fondos de larga duración.</t>
  </si>
  <si>
    <t xml:space="preserve">N0189</t>
  </si>
  <si>
    <t xml:space="preserve">Resumen diario de mercados: El rendimiento del bono a treinta años subió 75 puntos base y generó minusvalías en los fondos de larga duración.</t>
  </si>
  <si>
    <t xml:space="preserve">N0190</t>
  </si>
  <si>
    <t xml:space="preserve">La calificadora puso en perspectiva negativa la deuda corporativa del sector y advirtió sobre el nivel de apalancamiento. El movimiento es consistente con lo observado en la región.</t>
  </si>
  <si>
    <t xml:space="preserve">BBVAGLP, BBVAMRF</t>
  </si>
  <si>
    <t xml:space="preserve">N0191</t>
  </si>
  <si>
    <t xml:space="preserve">Resumen diario de mercados: La operadora informó un cambio administrativo en el horario de corte de las órdenes de los fondos de liquidez.</t>
  </si>
  <si>
    <t xml:space="preserve">BBVADD, B+EDUCA</t>
  </si>
  <si>
    <t xml:space="preserve">N0192</t>
  </si>
  <si>
    <t xml:space="preserve">Nota de la mesa de análisis: La escalada de tensiones comerciales golpeó a los mercados accionarios de economías emergentes. El equipo de inversiones dará seguimiento en la sesión del lunes.</t>
  </si>
  <si>
    <t xml:space="preserve">BBVARVE, BBVASIC</t>
  </si>
  <si>
    <t xml:space="preserve">N0193</t>
  </si>
  <si>
    <t xml:space="preserve">Nota de la mesa de análisis: Aunque la inflación estadounidense cedió, el mercado accionario cayó por el temor a una desaceleración más profunda. El movimiento es consistente con lo observado en la región.</t>
  </si>
  <si>
    <t xml:space="preserve">BBVAGF, BBVASIC</t>
  </si>
  <si>
    <t xml:space="preserve">N0194</t>
  </si>
  <si>
    <t xml:space="preserve">Flash informativo: El banco central no intervino en el mercado cambiario y la moneda extendió su racha de pérdidas.</t>
  </si>
  <si>
    <t xml:space="preserve">N0195</t>
  </si>
  <si>
    <t xml:space="preserve">Flash informativo: El tipo de cambio se depreció 4.8 por ciento en la jornada ante la aversión al riesgo global.</t>
  </si>
  <si>
    <t xml:space="preserve">N0196</t>
  </si>
  <si>
    <t xml:space="preserve">Cierre de mercado: Las bolsas europeas retrocedieron 0.4 por ciento ante la revisión a la baja del crecimiento de la región.</t>
  </si>
  <si>
    <t xml:space="preserve">BBVARFL, BBVAUS</t>
  </si>
  <si>
    <t xml:space="preserve">N0197</t>
  </si>
  <si>
    <t xml:space="preserve">Cierre de mercado: La operadora informó un cambio administrativo en el horario de corte de las órdenes de los fondos de liquidez. La información se actualizará con el cierre oficial.</t>
  </si>
  <si>
    <t xml:space="preserve">BBVADD, BBVAGUB</t>
  </si>
  <si>
    <t xml:space="preserve">N0198</t>
  </si>
  <si>
    <t xml:space="preserve">La empresa no recortó su dividendo pese al entorno y confirmó el calendario de pago. La información se actualizará con el cierre oficial.</t>
  </si>
  <si>
    <t xml:space="preserve">N0199</t>
  </si>
  <si>
    <t xml:space="preserve">Aunque la inflación se moderó, el aumento de la prima de riesgo soberano empujó al alza los rendimientos de largo plazo. El movimiento es consistente con lo observado en la región.</t>
  </si>
  <si>
    <t xml:space="preserve">N0200</t>
  </si>
  <si>
    <t xml:space="preserve">Cierre de mercado: La subasta primaria de Cetes a 28 días se colocó por arriba de lo esperado, con demanda sólida de inversionistas institucionales.</t>
  </si>
  <si>
    <t xml:space="preserve">BBVAGBP, BBVAPYM</t>
  </si>
  <si>
    <t xml:space="preserve">N0201</t>
  </si>
  <si>
    <t xml:space="preserve">La empresa no recortó su dividendo pese al entorno y confirmó el calendario de pago. El movimiento es consistente con lo observado en la región.</t>
  </si>
  <si>
    <t xml:space="preserve">N0202</t>
  </si>
  <si>
    <t xml:space="preserve">Resumen diario de mercados: Las bolsas europeas retrocedieron 1.1 por ciento ante la revisión a la baja del crecimiento de la región. Se recomienda revisar la exposición de las carteras afectadas.</t>
  </si>
  <si>
    <t xml:space="preserve">N0203</t>
  </si>
  <si>
    <t xml:space="preserve">Flash informativo: La Secretaría de Hacienda publicó el calendario de subastas del próximo trimestre sin cambios relevantes.</t>
  </si>
  <si>
    <t xml:space="preserve">BBVADGA, BBVADLP</t>
  </si>
  <si>
    <t xml:space="preserve">N0204</t>
  </si>
  <si>
    <t xml:space="preserve">Cierre de mercado: El gobierno no logró colocar el monto objetivo de la subasta de bonos largos y tuvo que ofrecer una sobretasa.</t>
  </si>
  <si>
    <t xml:space="preserve">N0205</t>
  </si>
  <si>
    <t xml:space="preserve">Resumen diario de mercados: La agencia no degradó la calificación soberana y el tipo de cambio recuperó terreno. Se recomienda revisar la exposición de las carteras afectadas.</t>
  </si>
  <si>
    <t xml:space="preserve">N0206</t>
  </si>
  <si>
    <t xml:space="preserve">La Reserva Federal no endureció su discurso y el mercado accionario global reaccionó al alza.</t>
  </si>
  <si>
    <t xml:space="preserve">BBVACAP, BBVADIG</t>
  </si>
  <si>
    <t xml:space="preserve">N0207</t>
  </si>
  <si>
    <t xml:space="preserve">Nota de la mesa de análisis: Los estrategas mantienen su objetivo de cierre de año y esperan el dato de inflación antes de ajustar posiciones. La información se actualizará con el cierre oficial.</t>
  </si>
  <si>
    <t xml:space="preserve">BBVACRE, BBVASIC</t>
  </si>
  <si>
    <t xml:space="preserve">N0208</t>
  </si>
  <si>
    <t xml:space="preserve">Nota de la mesa de análisis: La calificadora no modificó la nota soberana y retiró la perspectiva negativa que mantenía desde el año pasado. El equipo de inversiones dará seguimiento en la sesión del lunes.</t>
  </si>
  <si>
    <t xml:space="preserve">N0209</t>
  </si>
  <si>
    <t xml:space="preserve">La subasta primaria de Cetes a 28 días se colocó por arriba de lo esperado, con demanda sólida de inversionistas institucionales.</t>
  </si>
  <si>
    <t xml:space="preserve">BBVATES, BBVAPZO</t>
  </si>
  <si>
    <t xml:space="preserve">N0210</t>
  </si>
  <si>
    <t xml:space="preserve">El banco central no modificará la tasa en la reunión de febrero, lo que da visibilidad al carry de los fondos de deuda de corto plazo. El equipo de inversiones dará seguimiento en la sesión del lunes.</t>
  </si>
  <si>
    <t xml:space="preserve">N0211</t>
  </si>
  <si>
    <t xml:space="preserve">Cierre de mercado: Banxico recortó la tasa de referencia en 10 puntos base; las tasas de fondeo a un día siguen en niveles atractivos para los fondos de liquidez. Se recomienda revisar la exposición de las carteras afectadas.</t>
  </si>
  <si>
    <t xml:space="preserve">BBVAGLP, BBVATES</t>
  </si>
  <si>
    <t xml:space="preserve">N0212</t>
  </si>
  <si>
    <t xml:space="preserve">Cierre de mercado: El rendimiento del bono a treinta años subió 15 puntos base y generó minusvalías en los fondos de larga duración. La información se actualizará con el cierre oficial.</t>
  </si>
  <si>
    <t xml:space="preserve">BBVAUDI, BBVACOR</t>
  </si>
  <si>
    <t xml:space="preserve">N0213</t>
  </si>
  <si>
    <t xml:space="preserve">Se registraron salidas netas de recursos en fondos de liquidez durante la última semana.</t>
  </si>
  <si>
    <t xml:space="preserve">BBVALIQ, BBVAGB2</t>
  </si>
  <si>
    <t xml:space="preserve">N0214</t>
  </si>
  <si>
    <t xml:space="preserve">Flash informativo: El fondo actualizó su prospecto para precisar la metodología de valuación de instrumentos de deuda.</t>
  </si>
  <si>
    <t xml:space="preserve">N0215</t>
  </si>
  <si>
    <t xml:space="preserve">Si bien el entorno global sigue incierto, los udibonos capturaron la compresión de spreads de la semana. La información se actualizará con el cierre oficial.</t>
  </si>
  <si>
    <t xml:space="preserve">N0216</t>
  </si>
  <si>
    <t xml:space="preserve">Resumen diario de mercados: Si bien el diferencial de tasas se estrechó, el peso mantuvo su fortaleza frente al dólar durante la semana.</t>
  </si>
  <si>
    <t xml:space="preserve">N0217</t>
  </si>
  <si>
    <t xml:space="preserve">Cierre de mercado: El rendimiento del bono a diez años cedió 25 puntos base en la semana ante la expectativa de un ciclo de recortes.</t>
  </si>
  <si>
    <t xml:space="preserve">N0218</t>
  </si>
  <si>
    <t xml:space="preserve">Resumen diario de mercados: El banco central publicó el calendario de subastas de coberturas cambiarias para el próximo trimestre. El movimiento es consistente con lo observado en la región.</t>
  </si>
  <si>
    <t xml:space="preserve">N0219</t>
  </si>
  <si>
    <t xml:space="preserve">Comentario semanal: Pese al repunte de la volatilidad implícita, los índices globales sostuvieron las ganancias de la semana. La información se actualizará con el cierre oficial.</t>
  </si>
  <si>
    <t xml:space="preserve">BBVARFL, BBVAESG</t>
  </si>
  <si>
    <t xml:space="preserve">N0220</t>
  </si>
  <si>
    <t xml:space="preserve">Nota de la mesa de análisis: El banco central no modificará la tasa en la reunión de noviembre, lo que da visibilidad al carry de los fondos de deuda de corto plazo.</t>
  </si>
  <si>
    <t xml:space="preserve">N0221</t>
  </si>
  <si>
    <t xml:space="preserve">Cierre de mercado: El índice de referencia de la bolsa mexicana avanzó 4.8 por ciento impulsado por el sector consumo.</t>
  </si>
  <si>
    <t xml:space="preserve">N0222</t>
  </si>
  <si>
    <t xml:space="preserve">La escalada de tensiones comerciales golpeó a los mercados accionarios de economías emergentes.</t>
  </si>
  <si>
    <t xml:space="preserve">N0223</t>
  </si>
  <si>
    <t xml:space="preserve">Resumen diario de mercados: El fondo actualizó su prospecto para precisar la metodología de valuación de instrumentos de deuda. El equipo de inversiones dará seguimiento en la sesión del lunes.</t>
  </si>
  <si>
    <t xml:space="preserve">N0224</t>
  </si>
  <si>
    <t xml:space="preserve">Comentario semanal: Banxico publicará la minuta de su última decisión de política monetaria el jueves de la próxima semana.</t>
  </si>
  <si>
    <t xml:space="preserve">BBVACOR, BBVAPZO</t>
  </si>
  <si>
    <t xml:space="preserve">N0225</t>
  </si>
  <si>
    <t xml:space="preserve">Resumen diario de mercados: El consenso no anticipa movimientos relevantes en el tipo de cambio mientras no cambie el diferencial de tasas.</t>
  </si>
  <si>
    <t xml:space="preserve">N0226</t>
  </si>
  <si>
    <t xml:space="preserve">El índice retrocedió 3.2 por ciento en la sesión, con el sector financiero liderando las pérdidas. El movimiento es consistente con lo observado en la región.</t>
  </si>
  <si>
    <t xml:space="preserve">N0227</t>
  </si>
  <si>
    <t xml:space="preserve">El índice retrocedió 1.6 por ciento en la sesión, con el sector financiero liderando las pérdidas. Se recomienda revisar la exposición de las carteras afectadas.</t>
  </si>
  <si>
    <t xml:space="preserve">N0228</t>
  </si>
  <si>
    <t xml:space="preserve">Flash informativo: El índice retrocedió 1.6 por ciento en la sesión, con el sector financiero liderando las pérdidas. La información se actualizará con el cierre oficial.</t>
  </si>
  <si>
    <t xml:space="preserve">N0229</t>
  </si>
  <si>
    <t xml:space="preserve">Cierre de mercado: Aunque la inflación se moderó, el aumento de la prima de riesgo soberano empujó al alza los rendimientos de largo plazo.</t>
  </si>
  <si>
    <t xml:space="preserve">N0230</t>
  </si>
  <si>
    <t xml:space="preserve">Resumen diario de mercados: Aunque la inflación estadounidense cedió, el mercado accionario cayó por el temor a una desaceleración más profunda. El movimiento es consistente con lo observado en la región.</t>
  </si>
  <si>
    <t xml:space="preserve">BBVAESG, BBVARVE</t>
  </si>
  <si>
    <t xml:space="preserve">N0231</t>
  </si>
  <si>
    <t xml:space="preserve">Nota de la mesa de análisis: El fondo cerró el mes con minusvalía de 0.4 por ciento, pero el devengo acumulado del año sigue en terreno positivo y la duración juega a favor. El equipo de inversiones dará seguimiento en la sesión del lunes.</t>
  </si>
  <si>
    <t xml:space="preserve">N0232</t>
  </si>
  <si>
    <t xml:space="preserve">El rendimiento del bono a diez años cedió 75 puntos base en la semana ante la expectativa de un ciclo de recortes.</t>
  </si>
  <si>
    <t xml:space="preserve">N0233</t>
  </si>
  <si>
    <t xml:space="preserve">Cierre de mercado: El índice de referencia de la bolsa mexicana avanzó 3.2 por ciento impulsado por el sector consumo. La información se actualizará con el cierre oficial.</t>
  </si>
  <si>
    <t xml:space="preserve">N0234</t>
  </si>
  <si>
    <t xml:space="preserve">Si bien el entorno global sigue incierto, los udibonos capturaron la compresión de spreads de la semana.</t>
  </si>
  <si>
    <t xml:space="preserve">N0235</t>
  </si>
  <si>
    <t xml:space="preserve">Flash informativo: El tipo de cambio se depreció 0.7 por ciento en la jornada ante la aversión al riesgo global.</t>
  </si>
  <si>
    <t xml:space="preserve">N0236</t>
  </si>
  <si>
    <t xml:space="preserve">El proveedor del índice global anunció su revisión semestral de componentes, programada para noviembre.</t>
  </si>
  <si>
    <t xml:space="preserve">BBVASIC, BBVACR</t>
  </si>
  <si>
    <t xml:space="preserve">N0237</t>
  </si>
  <si>
    <t xml:space="preserve">A pesar del buen dato de empleo, el componente de servicios de la inflación volvió a presionar las tasas de corto plazo. La información se actualizará con el cierre oficial.</t>
  </si>
  <si>
    <t xml:space="preserve">BBVAGUB, BBVAUDI</t>
  </si>
  <si>
    <t xml:space="preserve">N0238</t>
  </si>
  <si>
    <t xml:space="preserve">El peso se apreció 4.8 por ciento frente al dólar tras la entrada de flujos de inversión de cartera. El equipo de inversiones dará seguimiento en la sesión del lunes.</t>
  </si>
  <si>
    <t xml:space="preserve">N0239</t>
  </si>
  <si>
    <t xml:space="preserve">El índice retrocedió 5.5 por ciento en la sesión, con el sector financiero liderando las pérdidas. La información se actualizará con el cierre oficial.</t>
  </si>
  <si>
    <t xml:space="preserve">N0240</t>
  </si>
  <si>
    <t xml:space="preserve">La compañía no alcanzó las estimaciones de utilidad por acción y tampoco dio una guía para el siguiente trimestre.</t>
  </si>
  <si>
    <t xml:space="preserve">N0241</t>
  </si>
  <si>
    <t xml:space="preserve">El tipo de cambio se depreció 3.2 por ciento en la jornada ante la aversión al riesgo global. Se recomienda revisar la exposición de las carteras afectadas.</t>
  </si>
  <si>
    <t xml:space="preserve">N0242</t>
  </si>
  <si>
    <t xml:space="preserve">El consenso no anticipa movimientos relevantes en el tipo de cambio mientras no cambie el diferencial de tasas. Se recomienda revisar la exposición de las carteras afectadas.</t>
  </si>
  <si>
    <t xml:space="preserve">N0243</t>
  </si>
  <si>
    <t xml:space="preserve">Cierre de mercado: El banco central no intervino en el mercado cambiario y la moneda extendió su racha de pérdidas.</t>
  </si>
  <si>
    <t xml:space="preserve">N0244</t>
  </si>
  <si>
    <t xml:space="preserve">Flash informativo: La emisora recortó su guía de ingresos para el año y anunció el retraso de su plan de inversión. El movimiento es consistente con lo observado en la región.</t>
  </si>
  <si>
    <t xml:space="preserve">N0245</t>
  </si>
  <si>
    <t xml:space="preserve">Aunque el reporte trimestral superó lo esperado, la acción cayó por el deterioro de la perspectiva del sector. La información se actualizará con el cierre oficial.</t>
  </si>
  <si>
    <t xml:space="preserve">N0246</t>
  </si>
  <si>
    <t xml:space="preserve">Se registraron salidas netas de recursos en fondos de liquidez durante la última semana. Se recomienda revisar la exposición de las carteras afectadas.</t>
  </si>
  <si>
    <t xml:space="preserve">BBVATES, BBVAGUB</t>
  </si>
  <si>
    <t xml:space="preserve">N0247</t>
  </si>
  <si>
    <t xml:space="preserve">Comentario semanal: Aunque la volatilidad cambiaria repuntó, los instrumentos de deuda gubernamental de corto plazo conservaron su rendimiento devengado.</t>
  </si>
  <si>
    <t xml:space="preserve">BBVAPYM, BBVAGB2</t>
  </si>
  <si>
    <t xml:space="preserve">N0248</t>
  </si>
  <si>
    <t xml:space="preserve">Las ventas cayeron 3.2 por ciento en el trimestre, pero el margen operativo se expandió y la acción reaccionó al alza.</t>
  </si>
  <si>
    <t xml:space="preserve">N0249</t>
  </si>
  <si>
    <t xml:space="preserve">Resumen diario de mercados: El plan de expansión no obtuvo la autorización regulatoria esperada.</t>
  </si>
  <si>
    <t xml:space="preserve">N0250</t>
  </si>
  <si>
    <t xml:space="preserve">Comentario semanal: El comité no descartó un ajuste restrictivo adicional si la inflación no cede en los próximos meses.</t>
  </si>
  <si>
    <t xml:space="preserve">N0251</t>
  </si>
  <si>
    <t xml:space="preserve">Banxico recortó la tasa de referencia en 75 puntos base; las tasas de fondeo a un día siguen en niveles atractivos para los fondos de liquidez. Se recomienda revisar la exposición de las carteras afectadas.</t>
  </si>
  <si>
    <t xml:space="preserve">BBVADCB, BBVALIQ</t>
  </si>
  <si>
    <t xml:space="preserve">N0252</t>
  </si>
  <si>
    <t xml:space="preserve">Flash informativo: Las ventas cayeron 2.3 por ciento en el trimestre, pero el margen operativo se expandió y la acción reaccionó al alza.</t>
  </si>
  <si>
    <t xml:space="preserve">N0253</t>
  </si>
  <si>
    <t xml:space="preserve">El mercado descuenta un escenario de tasas estables, aunque el consenso está dividido sobre el momento del próximo movimiento.</t>
  </si>
  <si>
    <t xml:space="preserve">N0254</t>
  </si>
  <si>
    <t xml:space="preserve">La empresa no recortó su dividendo pese al entorno y confirmó el calendario de pago. El equipo de inversiones dará seguimiento en la sesión del lunes.</t>
  </si>
  <si>
    <t xml:space="preserve">N0255</t>
  </si>
  <si>
    <t xml:space="preserve">Comentario semanal: La compañía no alcanzó las estimaciones de utilidad por acción y tampoco dio una guía para el siguiente trimestre.</t>
  </si>
  <si>
    <t xml:space="preserve">N0256</t>
  </si>
  <si>
    <t xml:space="preserve">Resumen diario de mercados: Las ventas cayeron 1.6 por ciento en el trimestre, pero el margen operativo se expandió y la acción reaccionó al alza. Se recomienda revisar la exposición de las carteras afectadas.</t>
  </si>
  <si>
    <t xml:space="preserve">N0257</t>
  </si>
  <si>
    <t xml:space="preserve">Flash informativo: La agencia no degradó la calificación soberana y el tipo de cambio recuperó terreno. Se recomienda revisar la exposición de las carteras afectadas.</t>
  </si>
  <si>
    <t xml:space="preserve">N0258</t>
  </si>
  <si>
    <t xml:space="preserve">Flash informativo: El banco central no modificará la tasa en la reunión de noviembre, lo que da visibilidad al carry de los fondos de deuda de corto plazo. La información se actualizará con el cierre oficial.</t>
  </si>
  <si>
    <t xml:space="preserve">BBVAPZO, BBVAGBP</t>
  </si>
  <si>
    <t xml:space="preserve">N0259</t>
  </si>
  <si>
    <t xml:space="preserve">Nota de la mesa de análisis: La tasa objetivo se mantuvo sin cambio en la decisión de diciembre, en línea con el consenso del mercado. La información se actualizará con el cierre oficial.</t>
  </si>
  <si>
    <t xml:space="preserve">N0260</t>
  </si>
  <si>
    <t xml:space="preserve">Nota de la mesa de análisis: El plan de expansión no obtuvo la autorización regulatoria esperada. La información se actualizará con el cierre oficial.</t>
  </si>
  <si>
    <t xml:space="preserve">N0261</t>
  </si>
  <si>
    <t xml:space="preserve">Nota de la mesa de análisis: El fondo cerró el mes con minusvalía de 4.8 por ciento, pero el devengo acumulado del año sigue en terreno positivo y la duración juega a favor.</t>
  </si>
  <si>
    <t xml:space="preserve">BBVADLP, BBVADGA</t>
  </si>
  <si>
    <t xml:space="preserve">N0262</t>
  </si>
  <si>
    <t xml:space="preserve">Flash informativo: Aunque la inflación se moderó, el aumento de la prima de riesgo soberano empujó al alza los rendimientos de largo plazo. Se recomienda revisar la exposición de las carteras afectadas.</t>
  </si>
  <si>
    <t xml:space="preserve">N0263</t>
  </si>
  <si>
    <t xml:space="preserve">El plan de expansión no obtuvo la autorización regulatoria esperada.</t>
  </si>
  <si>
    <t xml:space="preserve">N0264</t>
  </si>
  <si>
    <t xml:space="preserve">Cierre de mercado: Los estrategas mantienen su objetivo de cierre de año y esperan el dato de inflación antes de ajustar posiciones. La información se actualizará con el cierre oficial.</t>
  </si>
  <si>
    <t xml:space="preserve">BBVAESG, BBVAGF</t>
  </si>
  <si>
    <t xml:space="preserve">N0265</t>
  </si>
  <si>
    <t xml:space="preserve">Resumen diario de mercados: El tipo de cambio se depreció 0.7 por ciento en la jornada ante la aversión al riesgo global.</t>
  </si>
  <si>
    <t xml:space="preserve">N0266</t>
  </si>
  <si>
    <t xml:space="preserve">Flash informativo: La prima por plazo no se comprimió pese al recorte y la parte larga de la curva sigue castigada. El movimiento es consistente con lo observado en la región.</t>
  </si>
  <si>
    <t xml:space="preserve">N0267</t>
  </si>
  <si>
    <t xml:space="preserve">Resumen diario de mercados: Aunque el reporte trimestral superó lo esperado, la acción cayó por el deterioro de la perspectiva del sector.</t>
  </si>
  <si>
    <t xml:space="preserve">N0268</t>
  </si>
  <si>
    <t xml:space="preserve">Cierre de mercado: El índice retrocedió 5.5 por ciento en la sesión, con el sector financiero liderando las pérdidas.</t>
  </si>
  <si>
    <t xml:space="preserve">N0269</t>
  </si>
  <si>
    <t xml:space="preserve">El fondo cerró el mes con minusvalía de 5.5 por ciento, pero el devengo acumulado del año sigue en terreno positivo y la duración juega a favor.</t>
  </si>
  <si>
    <t xml:space="preserve">N0270</t>
  </si>
  <si>
    <t xml:space="preserve">El peso cerró con una ganancia marginal de 0.7 por ciento en la sesión, pero acumula una depreciación relevante en el mes. El equipo de inversiones dará seguimiento en la sesión del lunes.</t>
  </si>
  <si>
    <t xml:space="preserve">N0271</t>
  </si>
  <si>
    <t xml:space="preserve">El mercado descuenta un escenario de tasas estables, aunque el consenso está dividido sobre el momento del próximo movimiento. La información se actualizará con el cierre oficial.</t>
  </si>
  <si>
    <t xml:space="preserve">N0272</t>
  </si>
  <si>
    <t xml:space="preserve">La emisora reportó utilidades por arriba del consenso y elevó su guía para el cierre del año. El movimiento es consistente con lo observado en la región.</t>
  </si>
  <si>
    <t xml:space="preserve">N0273</t>
  </si>
  <si>
    <t xml:space="preserve">Comentario semanal: Aunque la inflación estadounidense cedió, el mercado accionario cayó por el temor a una desaceleración más profunda.</t>
  </si>
  <si>
    <t xml:space="preserve">BBVANDQ, BBVADIG</t>
  </si>
  <si>
    <t xml:space="preserve">N0274</t>
  </si>
  <si>
    <t xml:space="preserve">La calificadora puso en perspectiva negativa la deuda corporativa del sector y advirtió sobre el nivel de apalancamiento.</t>
  </si>
  <si>
    <t xml:space="preserve">N0275</t>
  </si>
  <si>
    <t xml:space="preserve">Resumen diario de mercados: El comité no descartó un ajuste restrictivo adicional si la inflación no cede en los próximos meses.</t>
  </si>
  <si>
    <t xml:space="preserve">BBVADCB, BBVAGB2</t>
  </si>
  <si>
    <t xml:space="preserve">N0276</t>
  </si>
  <si>
    <t xml:space="preserve">Pese al repunte de la volatilidad implícita, los índices globales sostuvieron las ganancias de la semana.</t>
  </si>
  <si>
    <t xml:space="preserve">BBVASIC, BBVACRE</t>
  </si>
  <si>
    <t xml:space="preserve">N0277</t>
  </si>
  <si>
    <t xml:space="preserve">Resumen diario de mercados: Las ventas cayeron 2.3 por ciento en el trimestre, pero el margen operativo se expandió y la acción reaccionó al alza. La información se actualizará con el cierre oficial.</t>
  </si>
  <si>
    <t xml:space="preserve">N0278</t>
  </si>
  <si>
    <t xml:space="preserve">Nota de la mesa de análisis: El índice del dólar alcanzó su nivel más alto del año y presionó a las divisas de mercados emergentes. El equipo de inversiones dará seguimiento en la sesión del lunes.</t>
  </si>
  <si>
    <t xml:space="preserve">N0279</t>
  </si>
  <si>
    <t xml:space="preserve">Cierre de mercado: Las ventas cayeron 3.2 por ciento en el trimestre, pero el margen operativo se expandió y la acción reaccionó al alza.</t>
  </si>
  <si>
    <t xml:space="preserve">N0280</t>
  </si>
  <si>
    <t xml:space="preserve">La compañía no alcanzó las estimaciones de utilidad por acción y tampoco dio una guía para el siguiente trimestre. El equipo de inversiones dará seguimiento en la sesión del lunes.</t>
  </si>
  <si>
    <t xml:space="preserve">N0281</t>
  </si>
  <si>
    <t xml:space="preserve">Comentario semanal: El sector tecnológico lideró el avance global con reportes trimestrales por arriba del consenso.</t>
  </si>
  <si>
    <t xml:space="preserve">N0282</t>
  </si>
  <si>
    <t xml:space="preserve">Los principales índices accionarios de Estados Unidos cerraron con ganancias tras un dato de empleo favorable. Se recomienda revisar la exposición de las carteras afectadas.</t>
  </si>
  <si>
    <t xml:space="preserve">BBVAEMG, BBVADIG</t>
  </si>
  <si>
    <t xml:space="preserve">N0283</t>
  </si>
  <si>
    <t xml:space="preserve">Comentario semanal: El plan de expansión no obtuvo la autorización regulatoria esperada.</t>
  </si>
  <si>
    <t xml:space="preserve">N0284</t>
  </si>
  <si>
    <t xml:space="preserve">Flash informativo: El peso se apreció 2.3 por ciento frente al dólar tras la entrada de flujos de inversión de cartera.</t>
  </si>
  <si>
    <t xml:space="preserve">N0285</t>
  </si>
  <si>
    <t xml:space="preserve">Comentario semanal: Los principales índices accionarios de Estados Unidos cerraron con ganancias tras un dato de empleo favorable.</t>
  </si>
  <si>
    <t xml:space="preserve">BBVARVE, BBVADIG</t>
  </si>
  <si>
    <t xml:space="preserve">N0286</t>
  </si>
  <si>
    <t xml:space="preserve">La temporada de reportes trimestrales en Estados Unidos inicia la próxima semana con el sector financiero. El movimiento es consistente con lo observado en la región.</t>
  </si>
  <si>
    <t xml:space="preserve">BBVANDQ, BBVAEMG</t>
  </si>
  <si>
    <t xml:space="preserve">N0287</t>
  </si>
  <si>
    <t xml:space="preserve">La temporada de reportes trimestrales en Estados Unidos inicia la próxima semana con el sector financiero.</t>
  </si>
  <si>
    <t xml:space="preserve">BBVADIG, BBVACR</t>
  </si>
  <si>
    <t xml:space="preserve">N0288</t>
  </si>
  <si>
    <t xml:space="preserve">Flash informativo: El índice del dólar alcanzó su nivel más alto del año y presionó a las divisas de mercados emergentes. Se recomienda revisar la exposición de las carteras afectadas.</t>
  </si>
  <si>
    <t xml:space="preserve">N0289</t>
  </si>
  <si>
    <t xml:space="preserve">El índice de referencia de la bolsa mexicana avanzó 3.2 por ciento impulsado por el sector consumo.</t>
  </si>
  <si>
    <t xml:space="preserve">N0290</t>
  </si>
  <si>
    <t xml:space="preserve">Resumen diario de mercados: Pese al repunte de la volatilidad implícita, los índices globales sostuvieron las ganancias de la semana. El movimiento es consistente con lo observado en la región.</t>
  </si>
  <si>
    <t xml:space="preserve">B+RVUS2, BBVADIG</t>
  </si>
  <si>
    <t xml:space="preserve">N0291</t>
  </si>
  <si>
    <t xml:space="preserve">Flash informativo: La agencia no degradó la calificación soberana y el tipo de cambio recuperó terreno.</t>
  </si>
  <si>
    <t xml:space="preserve">N0292</t>
  </si>
  <si>
    <t xml:space="preserve">Resumen diario de mercados: Se registraron salidas netas de recursos en fondos de liquidez durante la última semana.</t>
  </si>
  <si>
    <t xml:space="preserve">BBVALIQ, BBVATES</t>
  </si>
  <si>
    <t xml:space="preserve">N0293</t>
  </si>
  <si>
    <t xml:space="preserve">Cierre de mercado: El peso cerró con una ganancia marginal de 5.5 por ciento en la sesión, pero acumula una depreciación relevante en el mes. El equipo de inversiones dará seguimiento en la sesión del lunes.</t>
  </si>
  <si>
    <t xml:space="preserve">N0294</t>
  </si>
  <si>
    <t xml:space="preserve">El banco central publicó el calendario de subastas de coberturas cambiarias para el próximo trimestre. La información se actualizará con el cierre oficial.</t>
  </si>
  <si>
    <t xml:space="preserve">N0295</t>
  </si>
  <si>
    <t xml:space="preserve">Los estrategas mantienen su objetivo de cierre de año y esperan el dato de inflación antes de ajustar posiciones. La información se actualizará con el cierre oficial.</t>
  </si>
  <si>
    <t xml:space="preserve">BBVANSH, BBVADIG</t>
  </si>
  <si>
    <t xml:space="preserve">N0296</t>
  </si>
  <si>
    <t xml:space="preserve">Cierre de mercado: La empresa no recortó su dividendo pese al entorno y confirmó el calendario de pago. El movimiento es consistente con lo observado en la región.</t>
  </si>
  <si>
    <t xml:space="preserve">N0297</t>
  </si>
  <si>
    <t xml:space="preserve">El peso cerró con una ganancia marginal de 3.2 por ciento en la sesión, pero acumula una depreciación relevante en el mes.</t>
  </si>
  <si>
    <t xml:space="preserve">N0298</t>
  </si>
  <si>
    <t xml:space="preserve">La emisora recortó su guía de ingresos para el año y anunció el retraso de su plan de inversión. La información se actualizará con el cierre oficial.</t>
  </si>
  <si>
    <t xml:space="preserve">N0299</t>
  </si>
  <si>
    <t xml:space="preserve">Comentario semanal: El índice retrocedió 2.3 por ciento en la sesión, con el sector financiero liderando las pérdidas.</t>
  </si>
  <si>
    <t xml:space="preserve">N0300</t>
  </si>
  <si>
    <t xml:space="preserve">Flash informativo: El consenso no anticipa movimientos relevantes en el tipo de cambio mientras no cambie el diferencial de tasas. La información se actualizará con el cierre oficial.</t>
  </si>
  <si>
    <t xml:space="preserve">N0301</t>
  </si>
  <si>
    <t xml:space="preserve">Nota de la mesa de análisis: El sector tecnológico lideró el avance global con reportes trimestrales por arriba del consenso.</t>
  </si>
  <si>
    <t xml:space="preserve">N0302</t>
  </si>
  <si>
    <t xml:space="preserve">La calificadora puso en perspectiva negativa la deuda corporativa del sector y advirtió sobre el nivel de apalancamiento. La información se actualizará con el cierre oficial.</t>
  </si>
  <si>
    <t xml:space="preserve">N0303</t>
  </si>
  <si>
    <t xml:space="preserve">Flash informativo: Los principales índices accionarios de Estados Unidos cerraron con ganancias tras un dato de empleo favorable. El movimiento es consistente con lo observado en la región.</t>
  </si>
  <si>
    <t xml:space="preserve">N0304</t>
  </si>
  <si>
    <t xml:space="preserve">Pese al repunte de la volatilidad implícita, los índices globales sostuvieron las ganancias de la semana. El equipo de inversiones dará seguimiento en la sesión del lunes.</t>
  </si>
  <si>
    <t xml:space="preserve">BBVARFG, BBVAEMG</t>
  </si>
  <si>
    <t xml:space="preserve">N0305</t>
  </si>
  <si>
    <t xml:space="preserve">El gobierno no logró colocar el monto objetivo de la subasta de bonos largos y tuvo que ofrecer una sobretasa. El equipo de inversiones dará seguimiento en la sesión del lunes.</t>
  </si>
  <si>
    <t xml:space="preserve">N0306</t>
  </si>
  <si>
    <t xml:space="preserve">Resumen diario de mercados: Las ventas cayeron 0.4 por ciento en el trimestre, pero el margen operativo se expandió y la acción reaccionó al alza. El movimiento es consistente con lo observado en la región.</t>
  </si>
  <si>
    <t xml:space="preserve">N0307</t>
  </si>
  <si>
    <t xml:space="preserve">Resumen diario de mercados: La inflación general se aceleró a 5.5 por ciento anual y presiona las expectativas de tasa de corto plazo.</t>
  </si>
  <si>
    <t xml:space="preserve">BBVAUDI, B+EDUCA</t>
  </si>
  <si>
    <t xml:space="preserve">N0308</t>
  </si>
  <si>
    <t xml:space="preserve">Comentario semanal: La calificadora puso en perspectiva negativa la deuda corporativa del sector y advirtió sobre el nivel de apalancamiento.</t>
  </si>
  <si>
    <t xml:space="preserve">N0309</t>
  </si>
  <si>
    <t xml:space="preserve">Comentario semanal: El mercado descuenta un escenario de tasas estables, aunque el consenso está dividido sobre el momento del próximo movimiento. El equipo de inversiones dará seguimiento en la sesión del lunes.</t>
  </si>
  <si>
    <t xml:space="preserve">N0310</t>
  </si>
  <si>
    <t xml:space="preserve">Resumen diario de mercados: El mercado descuenta un escenario de tasas estables, aunque el consenso está dividido sobre el momento del próximo movimiento.</t>
  </si>
  <si>
    <t xml:space="preserve">N0311</t>
  </si>
  <si>
    <t xml:space="preserve">Cierre de mercado: El sector tecnológico lideró el avance global con reportes trimestrales por arriba del consenso. El equipo de inversiones dará seguimiento en la sesión del lunes.</t>
  </si>
  <si>
    <t xml:space="preserve">BBVAEMG, B+RVUS2</t>
  </si>
  <si>
    <t xml:space="preserve">N0312</t>
  </si>
  <si>
    <t xml:space="preserve">Flash informativo: El tipo de cambio se depreció 2.3 por ciento en la jornada ante la aversión al riesgo global.</t>
  </si>
  <si>
    <t xml:space="preserve">N0313</t>
  </si>
  <si>
    <t xml:space="preserve">Cierre de mercado: El peso se apreció 1.1 por ciento frente al dólar tras la entrada de flujos de inversión de cartera.</t>
  </si>
  <si>
    <t xml:space="preserve">N0314</t>
  </si>
  <si>
    <t xml:space="preserve">Comentario semanal: La tasa objetivo se mantuvo sin cambio en la decisión de marzo, en línea con el consenso del mercado.</t>
  </si>
  <si>
    <t xml:space="preserve">N0315</t>
  </si>
  <si>
    <t xml:space="preserve">Los estrategas mantienen su objetivo de cierre de año y esperan el dato de inflación antes de ajustar posiciones. El movimiento es consistente con lo observado en la región.</t>
  </si>
  <si>
    <t xml:space="preserve">B+RVUS2, BBVARVE</t>
  </si>
  <si>
    <t xml:space="preserve">N0316</t>
  </si>
  <si>
    <t xml:space="preserve">La calificadora no modificó la nota soberana y retiró la perspectiva negativa que mantenía desde el año pasado. El equipo de inversiones dará seguimiento en la sesión del lunes.</t>
  </si>
  <si>
    <t xml:space="preserve">N0317</t>
  </si>
  <si>
    <t xml:space="preserve">Flash informativo: Los principales índices accionarios de Estados Unidos cerraron con ganancias tras un dato de empleo favorable.</t>
  </si>
  <si>
    <t xml:space="preserve">N0318</t>
  </si>
  <si>
    <t xml:space="preserve">Flash informativo: El rendimiento del bono a treinta años subió 15 puntos base y generó minusvalías en los fondos de larga duración.</t>
  </si>
  <si>
    <t xml:space="preserve">N0319</t>
  </si>
  <si>
    <t xml:space="preserve">Resumen diario de mercados: Las ventas cayeron 3.2 por ciento en el trimestre, pero el margen operativo se expandió y la acción reaccionó al alza. El movimiento es consistente con lo observado en la región.</t>
  </si>
  <si>
    <t xml:space="preserve">N0320</t>
  </si>
  <si>
    <t xml:space="preserve">El peso cerró con una ganancia marginal de 2.3 por ciento en la sesión, pero acumula una depreciación relevante en el mes.</t>
  </si>
  <si>
    <t xml:space="preserve">N0321</t>
  </si>
  <si>
    <t xml:space="preserve">Resumen diario de mercados: El banco central publicó el calendario de subastas de coberturas cambiarias para el próximo trimestre. El equipo de inversiones dará seguimiento en la sesión del lunes.</t>
  </si>
  <si>
    <t xml:space="preserve">N0322</t>
  </si>
  <si>
    <t xml:space="preserve">Flash informativo: El proveedor del índice global anunció su revisión semestral de componentes, programada para febrero. Se recomienda revisar la exposición de las carteras afectadas.</t>
  </si>
  <si>
    <t xml:space="preserve">BBVARVE, BBVACR</t>
  </si>
  <si>
    <t xml:space="preserve">N0323</t>
  </si>
  <si>
    <t xml:space="preserve">Pese al repunte de la volatilidad implícita, los índices globales sostuvieron las ganancias de la semana. La información se actualizará con el cierre oficial.</t>
  </si>
  <si>
    <t xml:space="preserve">BBVARVE, BBVANSH</t>
  </si>
  <si>
    <t xml:space="preserve">N0324</t>
  </si>
  <si>
    <t xml:space="preserve">La escalada de tensiones comerciales golpeó a los mercados accionarios de economías emergentes. La información se actualizará con el cierre oficial.</t>
  </si>
  <si>
    <t xml:space="preserve">BBVAGF, B+RVUS2</t>
  </si>
  <si>
    <t xml:space="preserve">N0325</t>
  </si>
  <si>
    <t xml:space="preserve">Cierre de mercado: La emisora recortó su guía de ingresos para el año y anunció el retraso de su plan de inversión. Se recomienda revisar la exposición de las carteras afectadas.</t>
  </si>
  <si>
    <t xml:space="preserve">N0326</t>
  </si>
  <si>
    <t xml:space="preserve">Comentario semanal: Las bolsas europeas retrocedieron 2.3 por ciento ante la revisión a la baja del crecimiento de la región.</t>
  </si>
  <si>
    <t xml:space="preserve">N0327</t>
  </si>
  <si>
    <t xml:space="preserve">Las bolsas europeas retrocedieron 2.3 por ciento ante la revisión a la baja del crecimiento de la región. Se recomienda revisar la exposición de las carteras afectadas.</t>
  </si>
  <si>
    <t xml:space="preserve">N0328</t>
  </si>
  <si>
    <t xml:space="preserve">Cierre de mercado: Banxico publicará la minuta de su última decisión de política monetaria el jueves de la próxima semana. La información se actualizará con el cierre oficial.</t>
  </si>
  <si>
    <t xml:space="preserve">BBVAUDI, BBVAGOB</t>
  </si>
  <si>
    <t xml:space="preserve">N0329</t>
  </si>
  <si>
    <t xml:space="preserve">Resumen diario de mercados: Se registraron salidas netas de recursos en fondos de liquidez durante la última semana. El movimiento es consistente con lo observado en la región.</t>
  </si>
  <si>
    <t xml:space="preserve">BBVADD, BBVALIQ</t>
  </si>
  <si>
    <t xml:space="preserve">N0330</t>
  </si>
  <si>
    <t xml:space="preserve">Resumen diario de mercados: Las bolsas europeas retrocedieron 0.7 por ciento ante la revisión a la baja del crecimiento de la región. La información se actualizará con el cierre oficial.</t>
  </si>
  <si>
    <t xml:space="preserve">BBVADIG, BBVANSH</t>
  </si>
  <si>
    <t xml:space="preserve">N0331</t>
  </si>
  <si>
    <t xml:space="preserve">Banxico recortó la tasa de referencia en 15 puntos base; las tasas de fondeo a un día siguen en niveles atractivos para los fondos de liquidez. El movimiento es consistente con lo observado en la región.</t>
  </si>
  <si>
    <t xml:space="preserve">BBVADD, BBVAGOB</t>
  </si>
  <si>
    <t xml:space="preserve">N0332</t>
  </si>
  <si>
    <t xml:space="preserve">La emisora recortó su guía de ingresos para el año y anunció el retraso de su plan de inversión.</t>
  </si>
  <si>
    <t xml:space="preserve">N0333</t>
  </si>
  <si>
    <t xml:space="preserve">Cierre de mercado: El banco central no intervino en el mercado cambiario y la moneda extendió su racha de pérdidas. Se recomienda revisar la exposición de las carteras afectadas.</t>
  </si>
  <si>
    <t xml:space="preserve">N0334</t>
  </si>
  <si>
    <t xml:space="preserve">Nota de la mesa de análisis: Si bien el entorno global sigue incierto, los udibonos capturaron la compresión de spreads de la semana. El movimiento es consistente con lo observado en la región.</t>
  </si>
  <si>
    <t xml:space="preserve">N0335</t>
  </si>
  <si>
    <t xml:space="preserve">El sector tecnológico lideró el avance global con reportes trimestrales por arriba del consenso. Se recomienda revisar la exposición de las carteras afectadas.</t>
  </si>
  <si>
    <t xml:space="preserve">BBVANSH, B+RVUS2</t>
  </si>
  <si>
    <t xml:space="preserve">N0336</t>
  </si>
  <si>
    <t xml:space="preserve">Nota de la mesa de análisis: El banco central no modificará la tasa en la reunión de febrero, lo que da visibilidad al carry de los fondos de deuda de corto plazo.</t>
  </si>
  <si>
    <t xml:space="preserve">BBVAGUB, BBVADD</t>
  </si>
  <si>
    <t xml:space="preserve">N0337</t>
  </si>
  <si>
    <t xml:space="preserve">A pesar de la jornada negativa en Wall Street, el mercado local cerró al alza por flujos de inversionistas extranjeros. La información se actualizará con el cierre oficial.</t>
  </si>
  <si>
    <t xml:space="preserve">N0338</t>
  </si>
  <si>
    <t xml:space="preserve">Nota de la mesa de análisis: El banco central no modificará la tasa en la reunión de febrero, lo que da visibilidad al carry de los fondos de deuda de corto plazo. Se recomienda revisar la exposición de las carteras afectadas.</t>
  </si>
  <si>
    <t xml:space="preserve">BBVAGB2, BBVAPZO</t>
  </si>
  <si>
    <t xml:space="preserve">N0339</t>
  </si>
  <si>
    <t xml:space="preserve">Cierre de mercado: El rendimiento del bono a treinta años subió 35 puntos base y generó minusvalías en los fondos de larga duración. El equipo de inversiones dará seguimiento en la sesión del lunes.</t>
  </si>
  <si>
    <t xml:space="preserve">N0340</t>
  </si>
  <si>
    <t xml:space="preserve">Cierre de mercado: La calificadora no modificó la nota soberana y retiró la perspectiva negativa que mantenía desde el año pasado.</t>
  </si>
  <si>
    <t xml:space="preserve">N0341</t>
  </si>
  <si>
    <t xml:space="preserve">Cierre de mercado: El sector tecnológico lideró el avance global con reportes trimestrales por arriba del consenso.</t>
  </si>
  <si>
    <t xml:space="preserve">B+RVUS2, BBVAESG</t>
  </si>
  <si>
    <t xml:space="preserve">N0342</t>
  </si>
  <si>
    <t xml:space="preserve">Resumen diario de mercados: La tasa objetivo se mantuvo sin cambio en la decisión de diciembre, en línea con el consenso del mercado.</t>
  </si>
  <si>
    <t xml:space="preserve">BBVAGB2, BBVAPYM</t>
  </si>
  <si>
    <t xml:space="preserve">N0343</t>
  </si>
  <si>
    <t xml:space="preserve">Comentario semanal: La Secretaría de Hacienda publicó el calendario de subastas del próximo trimestre sin cambios relevantes. El movimiento es consistente con lo observado en la región.</t>
  </si>
  <si>
    <t xml:space="preserve">N0344</t>
  </si>
  <si>
    <t xml:space="preserve">Si bien el diferencial de tasas se estrechó, el peso mantuvo su fortaleza frente al dólar durante la semana. La información se actualizará con el cierre oficial.</t>
  </si>
  <si>
    <t xml:space="preserve">N0345</t>
  </si>
  <si>
    <t xml:space="preserve">Flash informativo: El tipo de cambio se depreció 0.4 por ciento en la jornada ante la aversión al riesgo global. El movimiento es consistente con lo observado en la región.</t>
  </si>
  <si>
    <t xml:space="preserve">N0346</t>
  </si>
  <si>
    <t xml:space="preserve">Cierre de mercado: El índice de referencia de la bolsa mexicana avanzó 5.5 por ciento impulsado por el sector consumo.</t>
  </si>
  <si>
    <t xml:space="preserve">N0347</t>
  </si>
  <si>
    <t xml:space="preserve">El acuerdo comercial no se concretó en la fecha prevista y las bolsas asiáticas cerraron a la baja. El equipo de inversiones dará seguimiento en la sesión del lunes.</t>
  </si>
  <si>
    <t xml:space="preserve">BBVACAP, B+RVUS2</t>
  </si>
  <si>
    <t xml:space="preserve">N0348</t>
  </si>
  <si>
    <t xml:space="preserve">Cierre de mercado: El índice retrocedió 1.1 por ciento en la sesión, con el sector financiero liderando las pérdidas. El movimiento es consistente con lo observado en la región.</t>
  </si>
  <si>
    <t xml:space="preserve">N0349</t>
  </si>
  <si>
    <t xml:space="preserve">La operadora informó un cambio administrativo en el horario de corte de las órdenes de los fondos de liquidez. El movimiento es consistente con lo observado en la región.</t>
  </si>
  <si>
    <t xml:space="preserve">N0350</t>
  </si>
  <si>
    <t xml:space="preserve">Flash informativo: La calificadora puso en perspectiva negativa la deuda corporativa del sector y advirtió sobre el nivel de apalancamiento. La información se actualizará con el cierre oficial.</t>
  </si>
  <si>
    <t xml:space="preserve">N0351</t>
  </si>
  <si>
    <t xml:space="preserve">Resumen diario de mercados: Los principales índices accionarios de Estados Unidos cerraron con ganancias tras un dato de empleo favorable.</t>
  </si>
  <si>
    <t xml:space="preserve">BBVARFG, BBVACRE</t>
  </si>
  <si>
    <t xml:space="preserve">N0352</t>
  </si>
  <si>
    <t xml:space="preserve">El banco central publicó el calendario de subastas de coberturas cambiarias para el próximo trimestre. Se recomienda revisar la exposición de las carteras afectadas.</t>
  </si>
  <si>
    <t xml:space="preserve">N0353</t>
  </si>
  <si>
    <t xml:space="preserve">Cierre de mercado: Aunque la inflación estadounidense cedió, el mercado accionario cayó por el temor a una desaceleración más profunda. El movimiento es consistente con lo observado en la región.</t>
  </si>
  <si>
    <t xml:space="preserve">B+RVUS2, BBVACR</t>
  </si>
  <si>
    <t xml:space="preserve">N0354</t>
  </si>
  <si>
    <t xml:space="preserve">Comentario semanal: La emisora reportó utilidades por arriba del consenso y elevó su guía para el cierre del año. La información se actualizará con el cierre oficial.</t>
  </si>
  <si>
    <t xml:space="preserve">N0355</t>
  </si>
  <si>
    <t xml:space="preserve">El índice retrocedió 3.2 por ciento en la sesión, con el sector financiero liderando las pérdidas.</t>
  </si>
  <si>
    <t xml:space="preserve">N0356</t>
  </si>
  <si>
    <t xml:space="preserve">El fondo cerró el mes con minusvalía de 0.4 por ciento, pero el devengo acumulado del año sigue en terreno positivo y la duración juega a favor. Se recomienda revisar la exposición de las carteras afectadas.</t>
  </si>
  <si>
    <t xml:space="preserve">N0357</t>
  </si>
  <si>
    <t xml:space="preserve">Resumen diario de mercados: El rendimiento del bono a diez años cedió 10 puntos base en la semana ante la expectativa de un ciclo de recortes.</t>
  </si>
  <si>
    <t xml:space="preserve">N0358</t>
  </si>
  <si>
    <t xml:space="preserve">La emisora convocó a su asamblea ordinaria de accionistas para el próximo noviembre.</t>
  </si>
  <si>
    <t xml:space="preserve">N0359</t>
  </si>
  <si>
    <t xml:space="preserve">Flash informativo: El índice de referencia de la bolsa mexicana avanzó 0.7 por ciento impulsado por el sector consumo.</t>
  </si>
  <si>
    <t xml:space="preserve">N0360</t>
  </si>
  <si>
    <t xml:space="preserve">Flash informativo: Los estrategas mantienen su objetivo de cierre de año y esperan el dato de inflación antes de ajustar posiciones. El movimiento es consistente con lo observado en la región.</t>
  </si>
  <si>
    <t xml:space="preserve">N0361</t>
  </si>
  <si>
    <t xml:space="preserve">La calificadora puso en perspectiva negativa la deuda corporativa del sector y advirtió sobre el nivel de apalancamiento. Se recomienda revisar la exposición de las carteras afectadas.</t>
  </si>
  <si>
    <t xml:space="preserve">N0362</t>
  </si>
  <si>
    <t xml:space="preserve">Resumen diario de mercados: El gobierno no logró colocar el monto objetivo de la subasta de bonos largos y tuvo que ofrecer una sobretasa. El movimiento es consistente con lo observado en la región.</t>
  </si>
  <si>
    <t xml:space="preserve">BBVAUDI, BBVADLP</t>
  </si>
  <si>
    <t xml:space="preserve">N0363</t>
  </si>
  <si>
    <t xml:space="preserve">Resumen diario de mercados: La operadora informó un cambio administrativo en el horario de corte de las órdenes de los fondos de liquidez. El movimiento es consistente con lo observado en la región.</t>
  </si>
  <si>
    <t xml:space="preserve">N0364</t>
  </si>
  <si>
    <t xml:space="preserve">Nota de la mesa de análisis: La Secretaría de Hacienda publicó el calendario de subastas del próximo trimestre sin cambios relevantes.</t>
  </si>
  <si>
    <t xml:space="preserve">N0365</t>
  </si>
  <si>
    <t xml:space="preserve">Comentario semanal: El peso se apreció 4.8 por ciento frente al dólar tras la entrada de flujos de inversión de cartera. Se recomienda revisar la exposición de las carteras afectadas.</t>
  </si>
  <si>
    <t xml:space="preserve">N0366</t>
  </si>
  <si>
    <t xml:space="preserve">Comentario semanal: El índice retrocedió 3.2 por ciento en la sesión, con el sector financiero liderando las pérdidas. El equipo de inversiones dará seguimiento en la sesión del lunes.</t>
  </si>
  <si>
    <t xml:space="preserve">N0367</t>
  </si>
  <si>
    <t xml:space="preserve">Cierre de mercado: El fondo cerró el mes con minusvalía de 3.2 por ciento, pero el devengo acumulado del año sigue en terreno positivo y la duración juega a favor. El equipo de inversiones dará seguimiento en la sesión del lunes.</t>
  </si>
  <si>
    <t xml:space="preserve">N0368</t>
  </si>
  <si>
    <t xml:space="preserve">Comentario semanal: Se registraron salidas netas de recursos en fondos de liquidez durante la última semana.</t>
  </si>
  <si>
    <t xml:space="preserve">BBVATES, BBVAUDI</t>
  </si>
  <si>
    <t xml:space="preserve">N0369</t>
  </si>
  <si>
    <t xml:space="preserve">Cierre de mercado: El índice retrocedió 1.1 por ciento en la sesión, con el sector financiero liderando las pérdidas. La información se actualizará con el cierre oficial.</t>
  </si>
  <si>
    <t xml:space="preserve">N0370</t>
  </si>
  <si>
    <t xml:space="preserve">El peso cerró con una ganancia marginal de 1.6 por ciento en la sesión, pero acumula una depreciación relevante en el mes. El equipo de inversiones dará seguimiento en la sesión del lunes.</t>
  </si>
  <si>
    <t xml:space="preserve">N0371</t>
  </si>
  <si>
    <t xml:space="preserve">Nota de la mesa de análisis: Si bien el entorno global sigue incierto, los udibonos capturaron la compresión de spreads de la semana.</t>
  </si>
  <si>
    <t xml:space="preserve">N0372</t>
  </si>
  <si>
    <t xml:space="preserve">Comentario semanal: La escalada de tensiones comerciales golpeó a los mercados accionarios de economías emergentes.</t>
  </si>
  <si>
    <t xml:space="preserve">BBVAUS, BBVACRE</t>
  </si>
  <si>
    <t xml:space="preserve">N0373</t>
  </si>
  <si>
    <t xml:space="preserve">Nota de la mesa de análisis: Banxico publicará la minuta de su última decisión de política monetaria el jueves de la próxima semana.</t>
  </si>
  <si>
    <t xml:space="preserve">BBVAPYM, BBVALIQ</t>
  </si>
  <si>
    <t xml:space="preserve">N0374</t>
  </si>
  <si>
    <t xml:space="preserve">La Secretaría de Hacienda publicó el calendario de subastas del próximo trimestre sin cambios relevantes. Se recomienda revisar la exposición de las carteras afectadas.</t>
  </si>
  <si>
    <t xml:space="preserve">N0375</t>
  </si>
  <si>
    <t xml:space="preserve">Comentario semanal: Aunque la inflación estadounidense cedió, el mercado accionario cayó por el temor a una desaceleración más profunda. El equipo de inversiones dará seguimiento en la sesión del lunes.</t>
  </si>
  <si>
    <t xml:space="preserve">BBVAEMG, BBVARVE</t>
  </si>
  <si>
    <t xml:space="preserve">N0376</t>
  </si>
  <si>
    <t xml:space="preserve">Flash informativo: Banxico recortó la tasa de referencia en 75 puntos base; las tasas de fondeo a un día siguen en niveles atractivos para los fondos de liquidez.</t>
  </si>
  <si>
    <t xml:space="preserve">N0377</t>
  </si>
  <si>
    <t xml:space="preserve">Comentario semanal: El mercado descuenta un escenario de tasas estables, aunque el consenso está dividido sobre el momento del próximo movimiento. La información se actualizará con el cierre oficial.</t>
  </si>
  <si>
    <t xml:space="preserve">N0378</t>
  </si>
  <si>
    <t xml:space="preserve">El tipo de cambio se depreció 5.5 por ciento en la jornada ante la aversión al riesgo global.</t>
  </si>
  <si>
    <t xml:space="preserve">N0379</t>
  </si>
  <si>
    <t xml:space="preserve">Comentario semanal: El índice retrocedió 3.2 por ciento en la sesión, con el sector financiero liderando las pérdidas.</t>
  </si>
  <si>
    <t xml:space="preserve">N0380</t>
  </si>
  <si>
    <t xml:space="preserve">Cierre de mercado: El mercado descuenta un escenario de tasas estables, aunque el consenso está dividido sobre el momento del próximo movimiento. La información se actualizará con el cierre oficial.</t>
  </si>
  <si>
    <t xml:space="preserve">N0381</t>
  </si>
  <si>
    <t xml:space="preserve">Comentario semanal: El índice del dólar alcanzó su nivel más alto del año y presionó a las divisas de mercados emergentes.</t>
  </si>
  <si>
    <t xml:space="preserve">N0382</t>
  </si>
  <si>
    <t xml:space="preserve">Nota de la mesa de análisis: Los estrategas mantienen su objetivo de cierre de año y esperan el dato de inflación antes de ajustar posiciones.</t>
  </si>
  <si>
    <t xml:space="preserve">BBVARVE, BBVAUS</t>
  </si>
  <si>
    <t xml:space="preserve">N0383</t>
  </si>
  <si>
    <t xml:space="preserve">Cierre de mercado: El fondo cerró el mes con minusvalía de 0.7 por ciento, pero el devengo acumulado del año sigue en terreno positivo y la duración juega a favor.</t>
  </si>
  <si>
    <t xml:space="preserve">BBVAMRF, BBVACOR</t>
  </si>
  <si>
    <t xml:space="preserve">N0384</t>
  </si>
  <si>
    <t xml:space="preserve">El índice de referencia de la bolsa mexicana avanzó 3.2 por ciento impulsado por el sector consumo. Se recomienda revisar la exposición de las carteras afectadas.</t>
  </si>
  <si>
    <t xml:space="preserve">N0385</t>
  </si>
  <si>
    <t xml:space="preserve">El fondo cerró el mes con minusvalía de 2.3 por ciento, pero el devengo acumulado del año sigue en terreno positivo y la duración juega a favor.</t>
  </si>
  <si>
    <t xml:space="preserve">N0386</t>
  </si>
  <si>
    <t xml:space="preserve">Flash informativo: El sector tecnológico lideró el avance global con reportes trimestrales por arriba del consenso.</t>
  </si>
  <si>
    <t xml:space="preserve">BBVANDQ, B+RVUS2</t>
  </si>
  <si>
    <t xml:space="preserve">N0387</t>
  </si>
  <si>
    <t xml:space="preserve">Flash informativo: El peso se apreció 5.5 por ciento frente al dólar tras la entrada de flujos de inversión de cartera. El movimiento es consistente con lo observado en la región.</t>
  </si>
  <si>
    <t xml:space="preserve">N0388</t>
  </si>
  <si>
    <t xml:space="preserve">Cierre de mercado: El mercado descuenta un escenario de tasas estables, aunque el consenso está dividido sobre el momento del próximo movimiento. Se recomienda revisar la exposición de las carteras afectadas.</t>
  </si>
  <si>
    <t xml:space="preserve">N0389</t>
  </si>
  <si>
    <t xml:space="preserve">Cierre de mercado: El peso se apreció 3.2 por ciento frente al dólar tras la entrada de flujos de inversión de cartera. El movimiento es consistente con lo observado en la región.</t>
  </si>
  <si>
    <t xml:space="preserve">N0390</t>
  </si>
  <si>
    <t xml:space="preserve">Cierre de mercado: El índice retrocedió 0.7 por ciento en la sesión, con el sector financiero liderando las pérdidas.</t>
  </si>
  <si>
    <t xml:space="preserve">N0391</t>
  </si>
  <si>
    <t xml:space="preserve">El gobierno no logró colocar el monto objetivo de la subasta de bonos largos y tuvo que ofrecer una sobretasa. El movimiento es consistente con lo observado en la región.</t>
  </si>
  <si>
    <t xml:space="preserve">N0392</t>
  </si>
  <si>
    <t xml:space="preserve">El fondo cerró el mes con minusvalía de 1.6 por ciento, pero el devengo acumulado del año sigue en terreno positivo y la duración juega a favor.</t>
  </si>
  <si>
    <t xml:space="preserve">N0393</t>
  </si>
  <si>
    <t xml:space="preserve">Flash informativo: La tasa objetivo se mantuvo sin cambio en la decisión de noviembre, en línea con el consenso del mercado.</t>
  </si>
  <si>
    <t xml:space="preserve">B+EDUCA, BBVADD</t>
  </si>
  <si>
    <t xml:space="preserve">N0394</t>
  </si>
  <si>
    <t xml:space="preserve">El consenso no anticipa movimientos relevantes en el tipo de cambio mientras no cambie el diferencial de tasas.</t>
  </si>
  <si>
    <t xml:space="preserve">N0395</t>
  </si>
  <si>
    <t xml:space="preserve">Cierre de mercado: El consenso no anticipa movimientos relevantes en el tipo de cambio mientras no cambie el diferencial de tasas. Se recomienda revisar la exposición de las carteras afectadas.</t>
  </si>
  <si>
    <t xml:space="preserve">N0396</t>
  </si>
  <si>
    <t xml:space="preserve">Flash informativo: Pese al repunte de la volatilidad implícita, los índices globales sostuvieron las ganancias de la semana.</t>
  </si>
  <si>
    <t xml:space="preserve">BBVARFL, BBVANSH</t>
  </si>
  <si>
    <t xml:space="preserve">N0397</t>
  </si>
  <si>
    <t xml:space="preserve">Nota de la mesa de análisis: La tasa objetivo se mantuvo sin cambio en la decisión de marzo, en línea con el consenso del mercado.</t>
  </si>
  <si>
    <t xml:space="preserve">BBVADD, BBVARF</t>
  </si>
  <si>
    <t xml:space="preserve">N0398</t>
  </si>
  <si>
    <t xml:space="preserve">Cierre de mercado: La emisora recortó su guía de ingresos para el año y anunció el retraso de su plan de inversión. El movimiento es consistente con lo observado en la región.</t>
  </si>
  <si>
    <t xml:space="preserve">N0399</t>
  </si>
  <si>
    <t xml:space="preserve">El gobierno no logró colocar el monto objetivo de la subasta de bonos largos y tuvo que ofrecer una sobretasa.</t>
  </si>
  <si>
    <t xml:space="preserve">N0400</t>
  </si>
  <si>
    <t xml:space="preserve">Cierre de mercado: Aunque la inflación estadounidense cedió, el mercado accionario cayó por el temor a una desaceleración más profunda. La información se actualizará con el cierre oficial.</t>
  </si>
  <si>
    <t xml:space="preserve">BBVARFG, BBVADIG</t>
  </si>
  <si>
    <t xml:space="preserve">fondo</t>
  </si>
  <si>
    <t xml:space="preserve">serie</t>
  </si>
  <si>
    <t xml:space="preserve">publico</t>
  </si>
  <si>
    <t xml:space="preserve">familia</t>
  </si>
  <si>
    <t xml:space="preserve">categoria</t>
  </si>
  <si>
    <t xml:space="preserve">calificacion</t>
  </si>
  <si>
    <t xml:space="preserve">minimo_inversion</t>
  </si>
  <si>
    <t xml:space="preserve">rend_diario</t>
  </si>
  <si>
    <t xml:space="preserve">rend_semanal</t>
  </si>
  <si>
    <t xml:space="preserve">rend_acum_mes</t>
  </si>
  <si>
    <t xml:space="preserve">rend_acum_anio</t>
  </si>
  <si>
    <t xml:space="preserve">rend_1_anio</t>
  </si>
  <si>
    <t xml:space="preserve">rend_2_anios</t>
  </si>
  <si>
    <t xml:space="preserve">precio</t>
  </si>
  <si>
    <t xml:space="preserve">B+EDUCA</t>
  </si>
  <si>
    <t xml:space="preserve">B</t>
  </si>
  <si>
    <t xml:space="preserve">Personas Físicas</t>
  </si>
  <si>
    <t xml:space="preserve">Fondos de Deuda</t>
  </si>
  <si>
    <t xml:space="preserve">AAA/1</t>
  </si>
  <si>
    <t xml:space="preserve">BBVAGB2</t>
  </si>
  <si>
    <t xml:space="preserve">B1</t>
  </si>
  <si>
    <t xml:space="preserve">AAA/2</t>
  </si>
  <si>
    <t xml:space="preserve">BBVAGUB</t>
  </si>
  <si>
    <t xml:space="preserve">C</t>
  </si>
  <si>
    <t xml:space="preserve">P</t>
  </si>
  <si>
    <t xml:space="preserve">PV</t>
  </si>
  <si>
    <t xml:space="preserve">UHN</t>
  </si>
  <si>
    <t xml:space="preserve">BBVALIQ</t>
  </si>
  <si>
    <t xml:space="preserve">BBVAPYM</t>
  </si>
  <si>
    <t xml:space="preserve">PF1</t>
  </si>
  <si>
    <t xml:space="preserve">PF2</t>
  </si>
  <si>
    <t xml:space="preserve">PF3</t>
  </si>
  <si>
    <t xml:space="preserve">PF4</t>
  </si>
  <si>
    <t xml:space="preserve">BBVARF</t>
  </si>
  <si>
    <t xml:space="preserve">C1</t>
  </si>
  <si>
    <t xml:space="preserve">AA/2</t>
  </si>
  <si>
    <t xml:space="preserve">P1</t>
  </si>
  <si>
    <t xml:space="preserve">PV1</t>
  </si>
  <si>
    <t xml:space="preserve">UHN1</t>
  </si>
  <si>
    <t xml:space="preserve">UHN2</t>
  </si>
  <si>
    <t xml:space="preserve">BBVADCB</t>
  </si>
  <si>
    <t xml:space="preserve">Deuda Mediano Plazo</t>
  </si>
  <si>
    <t xml:space="preserve">BBVAPZO</t>
  </si>
  <si>
    <t xml:space="preserve">AA/3</t>
  </si>
  <si>
    <t xml:space="preserve">BBVACOR</t>
  </si>
  <si>
    <t xml:space="preserve">AA/4</t>
  </si>
  <si>
    <t xml:space="preserve">BBVADLP</t>
  </si>
  <si>
    <t xml:space="preserve">AA/5</t>
  </si>
  <si>
    <t xml:space="preserve">BBVADGA</t>
  </si>
  <si>
    <t xml:space="preserve">AAA/5</t>
  </si>
  <si>
    <t xml:space="preserve">BBVAGLP</t>
  </si>
  <si>
    <t xml:space="preserve">BBVAUDI</t>
  </si>
  <si>
    <t xml:space="preserve">AAA/6</t>
  </si>
  <si>
    <t xml:space="preserve">BBVAMRF</t>
  </si>
  <si>
    <t xml:space="preserve">Retorno Absoluto</t>
  </si>
  <si>
    <t xml:space="preserve">BBVADOL</t>
  </si>
  <si>
    <t xml:space="preserve">Fondos de Liquidez en Divisas</t>
  </si>
  <si>
    <t xml:space="preserve">AAA/7</t>
  </si>
  <si>
    <t xml:space="preserve">MB</t>
  </si>
  <si>
    <t xml:space="preserve">BBVAEUR</t>
  </si>
  <si>
    <t xml:space="preserve">BBVAPC</t>
  </si>
  <si>
    <t xml:space="preserve">Fondos de Estrategias</t>
  </si>
  <si>
    <t xml:space="preserve">BBVAPCD</t>
  </si>
  <si>
    <t xml:space="preserve">Fondos de Estrategias Dolarizados</t>
  </si>
  <si>
    <t xml:space="preserve">AA/7</t>
  </si>
  <si>
    <t xml:space="preserve">BBVARV</t>
  </si>
  <si>
    <t xml:space="preserve">Fondos de Renta Variable</t>
  </si>
  <si>
    <t xml:space="preserve">B+RVUS2</t>
  </si>
  <si>
    <t xml:space="preserve">BBVACAP</t>
  </si>
  <si>
    <t xml:space="preserve">BBVACRE</t>
  </si>
  <si>
    <t xml:space="preserve">BBVADIG</t>
  </si>
  <si>
    <t xml:space="preserve">BBVARVE</t>
  </si>
  <si>
    <t xml:space="preserve">BBVAEMG</t>
  </si>
  <si>
    <t xml:space="preserve">BBVAESG</t>
  </si>
  <si>
    <t xml:space="preserve">BBVANSH</t>
  </si>
  <si>
    <t xml:space="preserve">BBVANDQ</t>
  </si>
  <si>
    <t xml:space="preserve">BBVARFG</t>
  </si>
  <si>
    <t xml:space="preserve">BBVARFL</t>
  </si>
  <si>
    <t xml:space="preserve">BBVASIC</t>
  </si>
  <si>
    <t xml:space="preserve">BBVAUS</t>
  </si>
  <si>
    <t xml:space="preserve">BBVAGF</t>
  </si>
  <si>
    <t xml:space="preserve">Fondos de Estrategias Pesos</t>
  </si>
  <si>
    <t xml:space="preserve">BBVACR</t>
  </si>
  <si>
    <t xml:space="preserve">BBVAGFD</t>
  </si>
  <si>
    <t xml:space="preserve">BBVACRD</t>
  </si>
  <si>
    <t xml:space="preserve">BBVAC+</t>
  </si>
  <si>
    <t xml:space="preserve">Fondos de MultiEstrategias</t>
  </si>
  <si>
    <t xml:space="preserve">Fondos de MultiEstrategias Pesos</t>
  </si>
  <si>
    <t xml:space="preserve">BBVAC</t>
  </si>
  <si>
    <t xml:space="preserve">BBVAM</t>
  </si>
  <si>
    <t xml:space="preserve">BBVAA</t>
  </si>
  <si>
    <t xml:space="preserve">BBVACD+</t>
  </si>
  <si>
    <t xml:space="preserve">Fondos de MultiEstrategias Dolarizados</t>
  </si>
  <si>
    <t xml:space="preserve">BBVACD</t>
  </si>
  <si>
    <t xml:space="preserve">BBVAMD</t>
  </si>
  <si>
    <t xml:space="preserve">BBVAAD</t>
  </si>
  <si>
    <t xml:space="preserve">BBVAGL3</t>
  </si>
  <si>
    <t xml:space="preserve">Fondos de MultiActivos</t>
  </si>
  <si>
    <t xml:space="preserve">BBVAGL4</t>
  </si>
  <si>
    <t xml:space="preserve">BBVAGL5</t>
  </si>
  <si>
    <t xml:space="preserve">BBVAMA2</t>
  </si>
  <si>
    <t xml:space="preserve">BBVAMA3</t>
  </si>
  <si>
    <t xml:space="preserve">BBVAMLT</t>
  </si>
  <si>
    <t xml:space="preserve">E</t>
  </si>
  <si>
    <t xml:space="preserve">Personas Morales</t>
  </si>
  <si>
    <t xml:space="preserve">E1</t>
  </si>
  <si>
    <t xml:space="preserve">E2</t>
  </si>
  <si>
    <t xml:space="preserve">BBVAGBP</t>
  </si>
  <si>
    <t xml:space="preserve">BBVAGOB</t>
  </si>
  <si>
    <t xml:space="preserve">TM</t>
  </si>
  <si>
    <t xml:space="preserve">B-1</t>
  </si>
  <si>
    <t xml:space="preserve">B-2</t>
  </si>
  <si>
    <t xml:space="preserve">B-3</t>
  </si>
  <si>
    <t xml:space="preserve">B-4</t>
  </si>
  <si>
    <t xml:space="preserve">B-5</t>
  </si>
  <si>
    <t xml:space="preserve">B-6</t>
  </si>
  <si>
    <t xml:space="preserve">BBVATES</t>
  </si>
  <si>
    <t xml:space="preserve">NC</t>
  </si>
  <si>
    <t xml:space="preserve">NC1</t>
  </si>
  <si>
    <t xml:space="preserve">NC2</t>
  </si>
  <si>
    <t xml:space="preserve">NC3</t>
  </si>
  <si>
    <t xml:space="preserve">TNC</t>
  </si>
  <si>
    <t xml:space="preserve">NC4</t>
  </si>
  <si>
    <t xml:space="preserve">NC5</t>
  </si>
  <si>
    <t xml:space="preserve">NC6</t>
  </si>
  <si>
    <t xml:space="preserve">BBVADD</t>
  </si>
  <si>
    <t xml:space="preserve">GPF</t>
  </si>
  <si>
    <t xml:space="preserve">BBVA34</t>
  </si>
  <si>
    <t xml:space="preserve">BBVA44</t>
  </si>
  <si>
    <t xml:space="preserve">BBVA50</t>
  </si>
  <si>
    <t xml:space="preserve">BBVA56</t>
  </si>
  <si>
    <t xml:space="preserve">BBVA66</t>
  </si>
  <si>
    <t xml:space="preserve">GB</t>
  </si>
  <si>
    <t xml:space="preserve">cliente_id</t>
  </si>
  <si>
    <t xml:space="preserve">nombre</t>
  </si>
  <si>
    <t xml:space="preserve">arquetipo</t>
  </si>
  <si>
    <t xml:space="preserve">perfil_riesgo</t>
  </si>
  <si>
    <t xml:space="preserve">posicion_mxn</t>
  </si>
  <si>
    <t xml:space="preserve">fondo_actual</t>
  </si>
  <si>
    <t xml:space="preserve">serie_actual</t>
  </si>
  <si>
    <t xml:space="preserve">categoria_actual</t>
  </si>
  <si>
    <t xml:space="preserve">rend_1_anio_actual</t>
  </si>
  <si>
    <t xml:space="preserve">meses_sin_revision</t>
  </si>
  <si>
    <t xml:space="preserve">C001</t>
  </si>
  <si>
    <t xml:space="preserve">Killer Croc</t>
  </si>
  <si>
    <t xml:space="preserve">Villano</t>
  </si>
  <si>
    <t xml:space="preserve">Moderado</t>
  </si>
  <si>
    <t xml:space="preserve">C002</t>
  </si>
  <si>
    <t xml:space="preserve">Wanda Maximoff</t>
  </si>
  <si>
    <t xml:space="preserve">Héroe</t>
  </si>
  <si>
    <t xml:space="preserve">C003</t>
  </si>
  <si>
    <t xml:space="preserve">Victor Fries</t>
  </si>
  <si>
    <t xml:space="preserve">Conservador</t>
  </si>
  <si>
    <t xml:space="preserve">C004</t>
  </si>
  <si>
    <t xml:space="preserve">Killmonger Stevens</t>
  </si>
  <si>
    <t xml:space="preserve">C005</t>
  </si>
  <si>
    <t xml:space="preserve">Black Manta</t>
  </si>
  <si>
    <t xml:space="preserve">C006</t>
  </si>
  <si>
    <t xml:space="preserve">Emil Blonsky</t>
  </si>
  <si>
    <t xml:space="preserve">C007</t>
  </si>
  <si>
    <t xml:space="preserve">Kara Danvers</t>
  </si>
  <si>
    <t xml:space="preserve">Agresivo</t>
  </si>
  <si>
    <t xml:space="preserve">C008</t>
  </si>
  <si>
    <t xml:space="preserve">Arthur Curry</t>
  </si>
  <si>
    <t xml:space="preserve">C009</t>
  </si>
  <si>
    <t xml:space="preserve">Solomon Grundy</t>
  </si>
  <si>
    <t xml:space="preserve">C010</t>
  </si>
  <si>
    <t xml:space="preserve">Victor Stone</t>
  </si>
  <si>
    <t xml:space="preserve">C011</t>
  </si>
  <si>
    <t xml:space="preserve">Mari McCabe</t>
  </si>
  <si>
    <t xml:space="preserve">C012</t>
  </si>
  <si>
    <t xml:space="preserve">Susan Storm</t>
  </si>
  <si>
    <t xml:space="preserve">C013</t>
  </si>
  <si>
    <t xml:space="preserve">Nebula Luphomoid</t>
  </si>
  <si>
    <t xml:space="preserve">C014</t>
  </si>
  <si>
    <t xml:space="preserve">Eric Brooks</t>
  </si>
  <si>
    <t xml:space="preserve">C015</t>
  </si>
  <si>
    <t xml:space="preserve">Arnim Zola</t>
  </si>
  <si>
    <t xml:space="preserve">C016</t>
  </si>
  <si>
    <t xml:space="preserve">Jaime Reyes</t>
  </si>
  <si>
    <t xml:space="preserve">C017</t>
  </si>
  <si>
    <t xml:space="preserve">Typhoid Mary</t>
  </si>
  <si>
    <t xml:space="preserve">C018</t>
  </si>
  <si>
    <t xml:space="preserve">Harvey Dent</t>
  </si>
  <si>
    <t xml:space="preserve">C019</t>
  </si>
  <si>
    <t xml:space="preserve">Taskmaster Masters</t>
  </si>
  <si>
    <t xml:space="preserve">C020</t>
  </si>
  <si>
    <t xml:space="preserve">Danny Rand</t>
  </si>
  <si>
    <t xml:space="preserve">C021</t>
  </si>
  <si>
    <t xml:space="preserve">Wally West</t>
  </si>
  <si>
    <t xml:space="preserve">C022</t>
  </si>
  <si>
    <t xml:space="preserve">Cable Summers</t>
  </si>
  <si>
    <t xml:space="preserve">C023</t>
  </si>
  <si>
    <t xml:space="preserve">Captain Boomerang</t>
  </si>
  <si>
    <t xml:space="preserve">C024</t>
  </si>
  <si>
    <t xml:space="preserve">Cheetah Minerva</t>
  </si>
  <si>
    <t xml:space="preserve">C025</t>
  </si>
  <si>
    <t xml:space="preserve">Cletus Kasady</t>
  </si>
  <si>
    <t xml:space="preserve">C026</t>
  </si>
  <si>
    <t xml:space="preserve">Ra's al Ghul</t>
  </si>
  <si>
    <t xml:space="preserve">C027</t>
  </si>
  <si>
    <t xml:space="preserve">Jennifer Walters</t>
  </si>
  <si>
    <t xml:space="preserve">C028</t>
  </si>
  <si>
    <t xml:space="preserve">Hugo Strange</t>
  </si>
  <si>
    <t xml:space="preserve">C029</t>
  </si>
  <si>
    <t xml:space="preserve">Ronan Accuser</t>
  </si>
  <si>
    <t xml:space="preserve">C030</t>
  </si>
  <si>
    <t xml:space="preserve">Ororo Munroe</t>
  </si>
  <si>
    <t xml:space="preserve">C031</t>
  </si>
  <si>
    <t xml:space="preserve">Baron Strucker</t>
  </si>
  <si>
    <t xml:space="preserve">C032</t>
  </si>
  <si>
    <t xml:space="preserve">Clark Kent</t>
  </si>
  <si>
    <t xml:space="preserve">C033</t>
  </si>
  <si>
    <t xml:space="preserve">Tony Stark</t>
  </si>
  <si>
    <t xml:space="preserve">C034</t>
  </si>
  <si>
    <t xml:space="preserve">Johnny Storm</t>
  </si>
  <si>
    <t xml:space="preserve">C035</t>
  </si>
  <si>
    <t xml:space="preserve">Kate Kane</t>
  </si>
  <si>
    <t xml:space="preserve">C036</t>
  </si>
  <si>
    <t xml:space="preserve">Erik Lehnsherr</t>
  </si>
  <si>
    <t xml:space="preserve">C037</t>
  </si>
  <si>
    <t xml:space="preserve">Slade Wilson</t>
  </si>
  <si>
    <t xml:space="preserve">C038</t>
  </si>
  <si>
    <t xml:space="preserve">Adrian Toomes</t>
  </si>
  <si>
    <t xml:space="preserve">C039</t>
  </si>
  <si>
    <t xml:space="preserve">Barry Allen</t>
  </si>
  <si>
    <t xml:space="preserve">C040</t>
  </si>
  <si>
    <t xml:space="preserve">Kurt Wagner</t>
  </si>
  <si>
    <t xml:space="preserve">C041</t>
  </si>
  <si>
    <t xml:space="preserve">Madame Hydra</t>
  </si>
  <si>
    <t xml:space="preserve">C042</t>
  </si>
  <si>
    <t xml:space="preserve">Ted Kord</t>
  </si>
  <si>
    <t xml:space="preserve">C043</t>
  </si>
  <si>
    <t xml:space="preserve">Harley Quinzel</t>
  </si>
  <si>
    <t xml:space="preserve">C044</t>
  </si>
  <si>
    <t xml:space="preserve">Jefferson Pierce</t>
  </si>
  <si>
    <t xml:space="preserve">C045</t>
  </si>
  <si>
    <t xml:space="preserve">Leonard Snart</t>
  </si>
  <si>
    <t xml:space="preserve">C046</t>
  </si>
  <si>
    <t xml:space="preserve">Luke Cage</t>
  </si>
  <si>
    <t xml:space="preserve">C047</t>
  </si>
  <si>
    <t xml:space="preserve">Helmut Zemo</t>
  </si>
  <si>
    <t xml:space="preserve">C048</t>
  </si>
  <si>
    <t xml:space="preserve">Dick Grayson</t>
  </si>
  <si>
    <t xml:space="preserve">C049</t>
  </si>
  <si>
    <t xml:space="preserve">Cassandra Cain</t>
  </si>
  <si>
    <t xml:space="preserve">C050</t>
  </si>
  <si>
    <t xml:space="preserve">Kamala Khan</t>
  </si>
  <si>
    <t xml:space="preserve">C051</t>
  </si>
  <si>
    <t xml:space="preserve">Mystique Darkholme</t>
  </si>
  <si>
    <t xml:space="preserve">C052</t>
  </si>
  <si>
    <t xml:space="preserve">Max Dillon</t>
  </si>
  <si>
    <t xml:space="preserve">C053</t>
  </si>
  <si>
    <t xml:space="preserve">Koriandr Anders</t>
  </si>
  <si>
    <t xml:space="preserve">C054</t>
  </si>
  <si>
    <t xml:space="preserve">Selina Kyle</t>
  </si>
  <si>
    <t xml:space="preserve">C055</t>
  </si>
  <si>
    <t xml:space="preserve">Cain Marko</t>
  </si>
  <si>
    <t xml:space="preserve">C056</t>
  </si>
  <si>
    <t xml:space="preserve">Emma Frost</t>
  </si>
  <si>
    <t xml:space="preserve">C057</t>
  </si>
  <si>
    <t xml:space="preserve">Jessica Jones</t>
  </si>
  <si>
    <t xml:space="preserve">C058</t>
  </si>
  <si>
    <t xml:space="preserve">Dinah Lance</t>
  </si>
  <si>
    <t xml:space="preserve">C059</t>
  </si>
  <si>
    <t xml:space="preserve">Zatanna Zatara</t>
  </si>
  <si>
    <t xml:space="preserve">C060</t>
  </si>
  <si>
    <t xml:space="preserve">Natasha Romanoff</t>
  </si>
  <si>
    <t xml:space="preserve">C061</t>
  </si>
  <si>
    <t xml:space="preserve">Nathaniel Essex</t>
  </si>
  <si>
    <t xml:space="preserve">C062</t>
  </si>
  <si>
    <t xml:space="preserve">Miles Morales</t>
  </si>
  <si>
    <t xml:space="preserve">C063</t>
  </si>
  <si>
    <t xml:space="preserve">Vandal Savage</t>
  </si>
  <si>
    <t xml:space="preserve">C064</t>
  </si>
  <si>
    <t xml:space="preserve">Charles Xavier</t>
  </si>
  <si>
    <t xml:space="preserve">C065</t>
  </si>
  <si>
    <t xml:space="preserve">Frank Castle</t>
  </si>
  <si>
    <t xml:space="preserve">C066</t>
  </si>
  <si>
    <t xml:space="preserve">Helena Bertinelli</t>
  </si>
  <si>
    <t xml:space="preserve">C067</t>
  </si>
  <si>
    <t xml:space="preserve">Thanos Titan</t>
  </si>
  <si>
    <t xml:space="preserve">C068</t>
  </si>
  <si>
    <t xml:space="preserve">Reverse Flash</t>
  </si>
  <si>
    <t xml:space="preserve">C069</t>
  </si>
  <si>
    <t xml:space="preserve">Gorilla Grodd</t>
  </si>
  <si>
    <t xml:space="preserve">C070</t>
  </si>
  <si>
    <t xml:space="preserve">Bucky Barnes</t>
  </si>
  <si>
    <t xml:space="preserve">C071</t>
  </si>
  <si>
    <t xml:space="preserve">Ajax Francis</t>
  </si>
  <si>
    <t xml:space="preserve">C072</t>
  </si>
  <si>
    <t xml:space="preserve">Matt Murdock</t>
  </si>
  <si>
    <t xml:space="preserve">C073</t>
  </si>
  <si>
    <t xml:space="preserve">Carol Danvers</t>
  </si>
  <si>
    <t xml:space="preserve">C074</t>
  </si>
  <si>
    <t xml:space="preserve">Eobard Thawne</t>
  </si>
  <si>
    <t xml:space="preserve">C075</t>
  </si>
  <si>
    <t xml:space="preserve">Domino Neena</t>
  </si>
  <si>
    <t xml:space="preserve">C076</t>
  </si>
  <si>
    <t xml:space="preserve">Red Skull</t>
  </si>
  <si>
    <t xml:space="preserve">C077</t>
  </si>
  <si>
    <t xml:space="preserve">Ben Grimm</t>
  </si>
  <si>
    <t xml:space="preserve">C078</t>
  </si>
  <si>
    <t xml:space="preserve">Sam Wilson</t>
  </si>
  <si>
    <t xml:space="preserve">C079</t>
  </si>
  <si>
    <t xml:space="preserve">Bulldozer Brooks</t>
  </si>
  <si>
    <t xml:space="preserve">C080</t>
  </si>
  <si>
    <t xml:space="preserve">Norman Osborn</t>
  </si>
  <si>
    <t xml:space="preserve">C081</t>
  </si>
  <si>
    <t xml:space="preserve">Scarecrow Mason</t>
  </si>
  <si>
    <t xml:space="preserve">C082</t>
  </si>
  <si>
    <t xml:space="preserve">Loki Laufeyson</t>
  </si>
  <si>
    <t xml:space="preserve">C083</t>
  </si>
  <si>
    <t xml:space="preserve">John Stewart</t>
  </si>
  <si>
    <t xml:space="preserve">C084</t>
  </si>
  <si>
    <t xml:space="preserve">Pamela Isley</t>
  </si>
  <si>
    <t xml:space="preserve">C085</t>
  </si>
  <si>
    <t xml:space="preserve">Clayface Hagen</t>
  </si>
  <si>
    <t xml:space="preserve">C086</t>
  </si>
  <si>
    <t xml:space="preserve">Jonathan Crane</t>
  </si>
  <si>
    <t xml:space="preserve">C087</t>
  </si>
  <si>
    <t xml:space="preserve">Oliver Queen</t>
  </si>
  <si>
    <t xml:space="preserve">C088</t>
  </si>
  <si>
    <t xml:space="preserve">Kaecilius Adria</t>
  </si>
  <si>
    <t xml:space="preserve">C089</t>
  </si>
  <si>
    <t xml:space="preserve">Mister Sinister</t>
  </si>
  <si>
    <t xml:space="preserve">C090</t>
  </si>
  <si>
    <t xml:space="preserve">Arcade Gamesmith</t>
  </si>
  <si>
    <t xml:space="preserve">C091</t>
  </si>
  <si>
    <t xml:space="preserve">Jean Grey</t>
  </si>
  <si>
    <t xml:space="preserve">C092</t>
  </si>
  <si>
    <t xml:space="preserve">Peter Quill</t>
  </si>
  <si>
    <t xml:space="preserve">C093</t>
  </si>
  <si>
    <t xml:space="preserve">Shuri Udaku</t>
  </si>
  <si>
    <t xml:space="preserve">C094</t>
  </si>
  <si>
    <t xml:space="preserve">Courtney Whitmore</t>
  </si>
  <si>
    <t xml:space="preserve">C095</t>
  </si>
  <si>
    <t xml:space="preserve">Killer Frost</t>
  </si>
  <si>
    <t xml:space="preserve">C096</t>
  </si>
  <si>
    <t xml:space="preserve">Monica Rambeau</t>
  </si>
  <si>
    <t xml:space="preserve">C097</t>
  </si>
  <si>
    <t xml:space="preserve">Hank McCoy</t>
  </si>
  <si>
    <t xml:space="preserve">C098</t>
  </si>
  <si>
    <t xml:space="preserve">En Sabah Nur</t>
  </si>
  <si>
    <t xml:space="preserve">C099</t>
  </si>
  <si>
    <t xml:space="preserve">Baron Mordo</t>
  </si>
  <si>
    <t xml:space="preserve">C100</t>
  </si>
  <si>
    <t xml:space="preserve">Deadshot Lawton</t>
  </si>
  <si>
    <t xml:space="preserve">C101</t>
  </si>
  <si>
    <t xml:space="preserve">Rick Tyler</t>
  </si>
  <si>
    <t xml:space="preserve">C102</t>
  </si>
  <si>
    <t xml:space="preserve">Oswald Cobblepot</t>
  </si>
  <si>
    <t xml:space="preserve">C103</t>
  </si>
  <si>
    <t xml:space="preserve">Ulysses Klaue</t>
  </si>
  <si>
    <t xml:space="preserve">C104</t>
  </si>
  <si>
    <t xml:space="preserve">Eddie Brock</t>
  </si>
  <si>
    <t xml:space="preserve">C105</t>
  </si>
  <si>
    <t xml:space="preserve">Yondu Udonta</t>
  </si>
  <si>
    <t xml:space="preserve">C106</t>
  </si>
  <si>
    <t xml:space="preserve">Bruce Banner</t>
  </si>
  <si>
    <t xml:space="preserve">C107</t>
  </si>
  <si>
    <t xml:space="preserve">Reed Richards</t>
  </si>
  <si>
    <t xml:space="preserve">C108</t>
  </si>
  <si>
    <t xml:space="preserve">Piotr Rasputin</t>
  </si>
  <si>
    <t xml:space="preserve">C109</t>
  </si>
  <si>
    <t xml:space="preserve">Diana Prince</t>
  </si>
  <si>
    <t xml:space="preserve">C110</t>
  </si>
  <si>
    <t xml:space="preserve">Dormammu Faltine</t>
  </si>
  <si>
    <t xml:space="preserve">C111</t>
  </si>
  <si>
    <t xml:space="preserve">Lex Luthor</t>
  </si>
  <si>
    <t xml:space="preserve">C112</t>
  </si>
  <si>
    <t xml:space="preserve">Donna Troy</t>
  </si>
  <si>
    <t xml:space="preserve">C113</t>
  </si>
  <si>
    <t xml:space="preserve">Garfield Logan</t>
  </si>
  <si>
    <t xml:space="preserve">C114</t>
  </si>
  <si>
    <t xml:space="preserve">Purple Man</t>
  </si>
  <si>
    <t xml:space="preserve">C115</t>
  </si>
  <si>
    <t xml:space="preserve">Marc Spector</t>
  </si>
  <si>
    <t xml:space="preserve">C116</t>
  </si>
  <si>
    <t xml:space="preserve">Otto Octavius</t>
  </si>
  <si>
    <t xml:space="preserve">C117</t>
  </si>
  <si>
    <t xml:space="preserve">Peter Parker</t>
  </si>
  <si>
    <t xml:space="preserve">C118</t>
  </si>
  <si>
    <t xml:space="preserve">Poison Lily</t>
  </si>
  <si>
    <t xml:space="preserve">C119</t>
  </si>
  <si>
    <t xml:space="preserve">Rachel Roth</t>
  </si>
  <si>
    <t xml:space="preserve">C120</t>
  </si>
  <si>
    <t xml:space="preserve">Anna Marie</t>
  </si>
  <si>
    <t xml:space="preserve">C121</t>
  </si>
  <si>
    <t xml:space="preserve">Ultron Prime</t>
  </si>
  <si>
    <t xml:space="preserve">C122</t>
  </si>
  <si>
    <t xml:space="preserve">Bullseye Poindexter</t>
  </si>
  <si>
    <t xml:space="preserve">C123</t>
  </si>
  <si>
    <t xml:space="preserve">Robert Reynolds</t>
  </si>
  <si>
    <t xml:space="preserve">C124</t>
  </si>
  <si>
    <t xml:space="preserve">Barbara Gordon</t>
  </si>
  <si>
    <t xml:space="preserve">C125</t>
  </si>
  <si>
    <t xml:space="preserve">Floyd Lawton</t>
  </si>
  <si>
    <t xml:space="preserve">C126</t>
  </si>
  <si>
    <t xml:space="preserve">Quentin Beck</t>
  </si>
  <si>
    <t xml:space="preserve">C127</t>
  </si>
  <si>
    <t xml:space="preserve">Edward Nygma</t>
  </si>
  <si>
    <t xml:space="preserve">C128</t>
  </si>
  <si>
    <t xml:space="preserve">Elektra Natchios</t>
  </si>
  <si>
    <t xml:space="preserve">C129</t>
  </si>
  <si>
    <t xml:space="preserve">Victor Von Doom</t>
  </si>
  <si>
    <t xml:space="preserve">C130</t>
  </si>
  <si>
    <t xml:space="preserve">Stephen Strange</t>
  </si>
  <si>
    <t xml:space="preserve">C131</t>
  </si>
  <si>
    <t xml:space="preserve">Flint Marko</t>
  </si>
  <si>
    <t xml:space="preserve">C132</t>
  </si>
  <si>
    <t xml:space="preserve">Remy LeBeau</t>
  </si>
  <si>
    <t xml:space="preserve">C133</t>
  </si>
  <si>
    <t xml:space="preserve">Jennifer Kale</t>
  </si>
  <si>
    <t xml:space="preserve">C134</t>
  </si>
  <si>
    <t xml:space="preserve">Ryan Choi</t>
  </si>
  <si>
    <t xml:space="preserve">C135</t>
  </si>
  <si>
    <t xml:space="preserve">Logan Howlett</t>
  </si>
  <si>
    <t xml:space="preserve">C136</t>
  </si>
  <si>
    <t xml:space="preserve">Matt Hawkins</t>
  </si>
  <si>
    <t xml:space="preserve">C137</t>
  </si>
  <si>
    <t xml:space="preserve">Sinestro</t>
  </si>
  <si>
    <t xml:space="preserve">C138</t>
  </si>
  <si>
    <t xml:space="preserve">Hal Jordan</t>
  </si>
  <si>
    <t xml:space="preserve">C139</t>
  </si>
  <si>
    <t xml:space="preserve">Scott Lang</t>
  </si>
  <si>
    <t xml:space="preserve">C140</t>
  </si>
  <si>
    <t xml:space="preserve">Thor Odinson</t>
  </si>
  <si>
    <t xml:space="preserve">C141</t>
  </si>
  <si>
    <t xml:space="preserve">Wilson Fisk</t>
  </si>
  <si>
    <t xml:space="preserve">C142</t>
  </si>
  <si>
    <t xml:space="preserve">Adam Brashear</t>
  </si>
  <si>
    <t xml:space="preserve">C143</t>
  </si>
  <si>
    <t xml:space="preserve">Billy Batson</t>
  </si>
  <si>
    <t xml:space="preserve">C144</t>
  </si>
  <si>
    <t xml:space="preserve">Steve Rogers</t>
  </si>
  <si>
    <t xml:space="preserve">C145</t>
  </si>
  <si>
    <t xml:space="preserve">Riri Williams</t>
  </si>
  <si>
    <t xml:space="preserve">C146</t>
  </si>
  <si>
    <t xml:space="preserve">Bruce Wayne</t>
  </si>
  <si>
    <t xml:space="preserve">C147</t>
  </si>
  <si>
    <t xml:space="preserve">Deathstroke Grim</t>
  </si>
  <si>
    <t xml:space="preserve">C148</t>
  </si>
  <si>
    <t xml:space="preserve">Scott Summers</t>
  </si>
  <si>
    <t xml:space="preserve">C149</t>
  </si>
  <si>
    <t xml:space="preserve">Crossbones Rumlow</t>
  </si>
  <si>
    <t xml:space="preserve">C150</t>
  </si>
  <si>
    <t xml:space="preserve">Sebastian Shaw</t>
  </si>
  <si>
    <t xml:space="preserve">Hoja</t>
  </si>
  <si>
    <t xml:space="preserve">Campo</t>
  </si>
  <si>
    <t xml:space="preserve">Tipo</t>
  </si>
  <si>
    <t xml:space="preserve">Descripción</t>
  </si>
  <si>
    <t xml:space="preserve">Texto</t>
  </si>
  <si>
    <t xml:space="preserve">Identificador único (N0001 a N0400)</t>
  </si>
  <si>
    <t xml:space="preserve">Publicación simulada, entre el 1 y el 8 de octubre de 2026</t>
  </si>
  <si>
    <t xml:space="preserve">Categórico</t>
  </si>
  <si>
    <t xml:space="preserve">Nota de análisis · Prensa financiera · Comunicado oficial · Resumen de mesa</t>
  </si>
  <si>
    <t xml:space="preserve">Deuda Corto Plazo · Deuda Largo Plazo · Renta Variable Nacional · Renta Variable Internacional · Divisas</t>
  </si>
  <si>
    <t xml:space="preserve">La nota de mercado. Longitud media de 25 palabras</t>
  </si>
  <si>
    <t xml:space="preserve">ETIQUETA OBJETIVO. POSITIVO · NEUTRAL · NEGATIVO. Efecto esperado sobre esa clase de activo</t>
  </si>
  <si>
    <t xml:space="preserve">directo · negacion · contraste · cifra_mixta · condicional</t>
  </si>
  <si>
    <t xml:space="preserve">facil · media · dificil. Se deriva del fenómeno lingüístico</t>
  </si>
  <si>
    <t xml:space="preserve">Claves reales de fondos BBVA de esa clase de activo</t>
  </si>
  <si>
    <t xml:space="preserve">Clave del fondo (BBVAGUB, BBVARV, B+EDUCA…)</t>
  </si>
  <si>
    <t xml:space="preserve">Serie accionaria (B, C, P, PV, UHN…)</t>
  </si>
  <si>
    <t xml:space="preserve">Personas Físicas / Personas Morales</t>
  </si>
  <si>
    <t xml:space="preserve">Deuda · Renta Variable · Estrategias · MultiEstrategias · MultiActivos · Liquidez en Divisas</t>
  </si>
  <si>
    <t xml:space="preserve">12 categorías del anaquel (Deuda Corto Plazo, Renta Variable Nacional…)</t>
  </si>
  <si>
    <t xml:space="preserve">Calificación de la serie (AAA/1, AA/4…). Vacío en renta variable</t>
  </si>
  <si>
    <t xml:space="preserve">Entero</t>
  </si>
  <si>
    <t xml:space="preserve">Inversión mínima en pesos</t>
  </si>
  <si>
    <t xml:space="preserve">rend_diario … rend_2_anios</t>
  </si>
  <si>
    <t xml:space="preserve">Decimal</t>
  </si>
  <si>
    <t xml:space="preserve">Rendimientos publicados por BBVA, en porcentaje</t>
  </si>
  <si>
    <t xml:space="preserve">Precio del título</t>
  </si>
  <si>
    <t xml:space="preserve">C001 a C150</t>
  </si>
  <si>
    <t xml:space="preserve">Nombre de ficción (superhéroe o villano)</t>
  </si>
  <si>
    <t xml:space="preserve">Héroe / Villano</t>
  </si>
  <si>
    <t xml:space="preserve">Conservador / Moderado / Agresivo</t>
  </si>
  <si>
    <t xml:space="preserve">Posición del cliente, entre 5 y 20 millones de pesos</t>
  </si>
  <si>
    <t xml:space="preserve">fondo_actual / serie_actual / categoria_actual</t>
  </si>
  <si>
    <t xml:space="preserve">Fondo real del anaquel, compatible con el perfil del cliente</t>
  </si>
  <si>
    <t xml:space="preserve">Rendimiento real a un año de esa serie, según el anaquel</t>
  </si>
  <si>
    <t xml:space="preserve">Clase a la que mapea el fondo, para cruzar con las señales</t>
  </si>
  <si>
    <t xml:space="preserve">Meses desde la última revisión de portafolio</t>
  </si>
  <si>
    <t xml:space="preserve">Distribución de la etiqueta objetivo (hoja NOTAS_MERCADO)</t>
  </si>
  <si>
    <t xml:space="preserve">Impacto</t>
  </si>
  <si>
    <t xml:space="preserve">Registros</t>
  </si>
  <si>
    <t xml:space="preserve">% del total</t>
  </si>
  <si>
    <t xml:space="preserve">Total</t>
  </si>
  <si>
    <t xml:space="preserve">Distribución por dificultad</t>
  </si>
  <si>
    <t xml:space="preserve">Dificultad</t>
  </si>
  <si>
    <t xml:space="preserve">Cartera simulada (hoja CLIENTES)</t>
  </si>
  <si>
    <t xml:space="preserve">Indicador</t>
  </si>
  <si>
    <t xml:space="preserve">Valor</t>
  </si>
  <si>
    <t xml:space="preserve">Clientes</t>
  </si>
  <si>
    <t xml:space="preserve">AUM simulado total</t>
  </si>
  <si>
    <t xml:space="preserve">Posición promedio</t>
  </si>
  <si>
    <t xml:space="preserve">Posición mínima</t>
  </si>
  <si>
    <t xml:space="preserve">Posición máxima</t>
  </si>
  <si>
    <t xml:space="preserve">Catálogo de fondos (hoja CATALOGO_FONDOS) — datos reales de BBVA al 08/10/2026</t>
  </si>
  <si>
    <t xml:space="preserve">Series</t>
  </si>
  <si>
    <t xml:space="preserve">Series de Personas Físicas</t>
  </si>
  <si>
    <t xml:space="preserve">Rendimiento promedio a 1 año (%)</t>
  </si>
</sst>
</file>

<file path=xl/styles.xml><?xml version="1.0" encoding="utf-8"?>
<styleSheet xmlns="http://schemas.openxmlformats.org/spreadsheetml/2006/main">
  <numFmts count="5">
    <numFmt numFmtId="164" formatCode="General"/>
    <numFmt numFmtId="165" formatCode="\$#,##0"/>
    <numFmt numFmtId="166" formatCode="0.00\%"/>
    <numFmt numFmtId="167" formatCode="0.000000"/>
    <numFmt numFmtId="168" formatCode="0.0%"/>
  </numFmts>
  <fonts count="14">
    <font>
      <sz val="11"/>
      <color theme="1"/>
      <name val="Calibri"/>
      <family val="2"/>
      <charset val="1"/>
    </font>
    <font>
      <sz val="10"/>
      <name val="Arial"/>
      <family val="0"/>
    </font>
    <font>
      <sz val="10"/>
      <name val="Arial"/>
      <family val="0"/>
    </font>
    <font>
      <sz val="10"/>
      <name val="Arial"/>
      <family val="0"/>
    </font>
    <font>
      <sz val="10"/>
      <name val="Arial"/>
      <family val="0"/>
      <charset val="1"/>
    </font>
    <font>
      <b val="true"/>
      <sz val="10"/>
      <name val="Arial"/>
      <family val="0"/>
      <charset val="1"/>
    </font>
    <font>
      <b val="true"/>
      <sz val="16"/>
      <color rgb="FF072146"/>
      <name val="Arial"/>
      <family val="0"/>
      <charset val="1"/>
    </font>
    <font>
      <i val="true"/>
      <sz val="10.5"/>
      <color rgb="FF444444"/>
      <name val="Arial"/>
      <family val="0"/>
      <charset val="1"/>
    </font>
    <font>
      <b val="true"/>
      <sz val="11"/>
      <color rgb="FF072146"/>
      <name val="Arial"/>
      <family val="0"/>
      <charset val="1"/>
    </font>
    <font>
      <b val="true"/>
      <sz val="9.5"/>
      <color rgb="FFFFFFFF"/>
      <name val="Arial"/>
      <family val="0"/>
      <charset val="1"/>
    </font>
    <font>
      <sz val="9"/>
      <name val="Arial"/>
      <family val="0"/>
      <charset val="1"/>
    </font>
    <font>
      <b val="true"/>
      <sz val="9"/>
      <name val="Arial"/>
      <family val="0"/>
      <charset val="1"/>
    </font>
    <font>
      <sz val="9.5"/>
      <name val="Arial"/>
      <family val="0"/>
      <charset val="1"/>
    </font>
    <font>
      <b val="true"/>
      <sz val="11.5"/>
      <color rgb="FF072146"/>
      <name val="Arial"/>
      <family val="0"/>
      <charset val="1"/>
    </font>
  </fonts>
  <fills count="5">
    <fill>
      <patternFill patternType="none"/>
    </fill>
    <fill>
      <patternFill patternType="gray125"/>
    </fill>
    <fill>
      <patternFill patternType="solid">
        <fgColor rgb="FF072146"/>
        <bgColor rgb="FF003300"/>
      </patternFill>
    </fill>
    <fill>
      <patternFill patternType="solid">
        <fgColor rgb="FFFFF2CC"/>
        <bgColor rgb="FFE8F0F8"/>
      </patternFill>
    </fill>
    <fill>
      <patternFill patternType="solid">
        <fgColor rgb="FFE8F0F8"/>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center" vertical="bottom" textRotation="0" wrapText="false" indent="0" shrinkToFit="false"/>
      <protection locked="true" hidden="false"/>
    </xf>
    <xf numFmtId="165" fontId="10" fillId="0" borderId="1" xfId="0" applyFont="true" applyBorder="true" applyAlignment="true" applyProtection="false">
      <alignment horizontal="general" vertical="top" textRotation="0" wrapText="false" indent="0" shrinkToFit="false"/>
      <protection locked="true" hidden="false"/>
    </xf>
    <xf numFmtId="166" fontId="10" fillId="0" borderId="1" xfId="0" applyFont="true" applyBorder="true" applyAlignment="true" applyProtection="false">
      <alignment horizontal="general" vertical="top" textRotation="0" wrapText="false" indent="0" shrinkToFit="false"/>
      <protection locked="true" hidden="false"/>
    </xf>
    <xf numFmtId="167" fontId="10" fillId="0" borderId="1" xfId="0" applyFont="true" applyBorder="true" applyAlignment="true" applyProtection="false">
      <alignment horizontal="general" vertical="top" textRotation="0" wrapText="false" indent="0" shrinkToFit="false"/>
      <protection locked="true" hidden="false"/>
    </xf>
    <xf numFmtId="164" fontId="12" fillId="0" borderId="1" xfId="0" applyFont="true" applyBorder="true" applyAlignment="true" applyProtection="false">
      <alignment horizontal="general" vertical="top"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8" fontId="4" fillId="0"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8" fontId="5" fillId="4" borderId="1" xfId="0" applyFont="true" applyBorder="true" applyAlignment="false" applyProtection="false">
      <alignment horizontal="general" vertical="bottom" textRotation="0" wrapText="false" indent="0" shrinkToFit="false"/>
      <protection locked="true" hidden="false"/>
    </xf>
    <xf numFmtId="165" fontId="4" fillId="0" borderId="1" xfId="0" applyFont="true" applyBorder="true" applyAlignment="false" applyProtection="false">
      <alignment horizontal="general" vertical="bottom" textRotation="0" wrapText="false" indent="0" shrinkToFit="false"/>
      <protection locked="true" hidden="false"/>
    </xf>
    <xf numFmtId="166" fontId="4"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072146"/>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8F0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72146"/>
      <rgbColor rgb="FF339966"/>
      <rgbColor rgb="FF003300"/>
      <rgbColor rgb="FF333300"/>
      <rgbColor rgb="FF993300"/>
      <rgbColor rgb="FF993366"/>
      <rgbColor rgb="FF333399"/>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96"/>
  </cols>
  <sheetData>
    <row r="1" customFormat="false" ht="15" hidden="false" customHeight="false" outlineLevel="0" collapsed="false">
      <c r="B1" s="1"/>
      <c r="C1" s="1"/>
    </row>
    <row r="2" customFormat="false" ht="23.85" hidden="false" customHeight="false" outlineLevel="0" collapsed="false">
      <c r="B2" s="2" t="s">
        <v>0</v>
      </c>
      <c r="C2" s="1"/>
    </row>
    <row r="3" customFormat="false" ht="19.7" hidden="false" customHeight="false" outlineLevel="0" collapsed="false">
      <c r="B3" s="3"/>
      <c r="C3" s="1" t="s">
        <v>1</v>
      </c>
    </row>
    <row r="4" customFormat="false" ht="15" hidden="false" customHeight="false" outlineLevel="0" collapsed="false">
      <c r="B4" s="1"/>
      <c r="C4" s="4"/>
    </row>
    <row r="5" customFormat="false" ht="15" hidden="false" customHeight="false" outlineLevel="0" collapsed="false">
      <c r="B5" s="2" t="s">
        <v>2</v>
      </c>
      <c r="C5" s="1" t="s">
        <v>3</v>
      </c>
    </row>
    <row r="6" customFormat="false" ht="15" hidden="false" customHeight="false" outlineLevel="0" collapsed="false">
      <c r="B6" s="2" t="s">
        <v>4</v>
      </c>
      <c r="C6" s="1" t="s">
        <v>5</v>
      </c>
    </row>
    <row r="7" customFormat="false" ht="15" hidden="false" customHeight="false" outlineLevel="0" collapsed="false">
      <c r="B7" s="2" t="s">
        <v>6</v>
      </c>
      <c r="C7" s="1" t="s">
        <v>7</v>
      </c>
    </row>
    <row r="8" customFormat="false" ht="15" hidden="false" customHeight="false" outlineLevel="0" collapsed="false">
      <c r="B8" s="2" t="s">
        <v>8</v>
      </c>
      <c r="C8" s="1" t="s">
        <v>9</v>
      </c>
    </row>
    <row r="9" customFormat="false" ht="15" hidden="false" customHeight="false" outlineLevel="0" collapsed="false">
      <c r="B9" s="1"/>
      <c r="C9" s="1"/>
    </row>
    <row r="10" customFormat="false" ht="15" hidden="false" customHeight="false" outlineLevel="0" collapsed="false">
      <c r="B10" s="2" t="s">
        <v>10</v>
      </c>
      <c r="C10" s="1"/>
    </row>
    <row r="11" customFormat="false" ht="15" hidden="false" customHeight="false" outlineLevel="0" collapsed="false">
      <c r="B11" s="5"/>
      <c r="C11" s="1"/>
    </row>
    <row r="12" customFormat="false" ht="23.85" hidden="false" customHeight="false" outlineLevel="0" collapsed="false">
      <c r="B12" s="2" t="s">
        <v>11</v>
      </c>
      <c r="C12" s="1" t="s">
        <v>12</v>
      </c>
    </row>
    <row r="13" customFormat="false" ht="23.85" hidden="false" customHeight="false" outlineLevel="0" collapsed="false">
      <c r="B13" s="2" t="s">
        <v>13</v>
      </c>
      <c r="C13" s="1" t="s">
        <v>14</v>
      </c>
    </row>
    <row r="14" customFormat="false" ht="23.85" hidden="false" customHeight="false" outlineLevel="0" collapsed="false">
      <c r="B14" s="2" t="s">
        <v>15</v>
      </c>
      <c r="C14" s="1" t="s">
        <v>16</v>
      </c>
    </row>
    <row r="15" customFormat="false" ht="15" hidden="false" customHeight="false" outlineLevel="0" collapsed="false">
      <c r="B15" s="2" t="s">
        <v>17</v>
      </c>
      <c r="C15" s="1" t="s">
        <v>18</v>
      </c>
    </row>
    <row r="16" customFormat="false" ht="15" hidden="false" customHeight="false" outlineLevel="0" collapsed="false">
      <c r="B16" s="2" t="s">
        <v>19</v>
      </c>
      <c r="C16" s="1" t="s">
        <v>20</v>
      </c>
    </row>
    <row r="17" customFormat="false" ht="15" hidden="false" customHeight="false" outlineLevel="0" collapsed="false">
      <c r="B17" s="1"/>
      <c r="C17" s="1"/>
    </row>
    <row r="18" customFormat="false" ht="23.85" hidden="false" customHeight="false" outlineLevel="0" collapsed="false">
      <c r="B18" s="2" t="s">
        <v>21</v>
      </c>
      <c r="C18" s="1"/>
    </row>
    <row r="19" customFormat="false" ht="23.85" hidden="false" customHeight="false" outlineLevel="0" collapsed="false">
      <c r="B19" s="5"/>
      <c r="C19" s="1" t="s">
        <v>22</v>
      </c>
    </row>
    <row r="20" customFormat="false" ht="23.85" hidden="false" customHeight="false" outlineLevel="0" collapsed="false">
      <c r="B20" s="1"/>
      <c r="C20" s="1" t="s">
        <v>23</v>
      </c>
    </row>
    <row r="21" customFormat="false" ht="23.85" hidden="false" customHeight="false" outlineLevel="0" collapsed="false">
      <c r="B21" s="1"/>
      <c r="C21" s="1" t="s">
        <v>24</v>
      </c>
    </row>
    <row r="22" customFormat="false" ht="15" hidden="false" customHeight="false" outlineLevel="0" collapsed="false">
      <c r="B22" s="1"/>
      <c r="C22" s="1"/>
    </row>
    <row r="23" customFormat="false" ht="15" hidden="false" customHeight="false" outlineLevel="0" collapsed="false">
      <c r="B23" s="2" t="s">
        <v>25</v>
      </c>
      <c r="C23" s="1"/>
    </row>
    <row r="24" customFormat="false" ht="15" hidden="false" customHeight="false" outlineLevel="0" collapsed="false">
      <c r="B24" s="5"/>
      <c r="C24" s="1" t="s">
        <v>26</v>
      </c>
    </row>
    <row r="25" customFormat="false" ht="15" hidden="false" customHeight="false" outlineLevel="0" collapsed="false">
      <c r="B25" s="1"/>
      <c r="C25" s="1" t="s">
        <v>27</v>
      </c>
    </row>
    <row r="26" customFormat="false" ht="15" hidden="false" customHeight="false" outlineLevel="0" collapsed="false">
      <c r="B26" s="1"/>
      <c r="C26" s="1"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1"/>
    <col collapsed="false" customWidth="true" hidden="false" outlineLevel="0" max="3" min="3" style="0" width="18"/>
    <col collapsed="false" customWidth="true" hidden="false" outlineLevel="0" max="4" min="4" style="0" width="25"/>
    <col collapsed="false" customWidth="true" hidden="false" outlineLevel="0" max="5" min="5" style="0" width="88"/>
    <col collapsed="false" customWidth="true" hidden="false" outlineLevel="0" max="6" min="6" style="0" width="11"/>
    <col collapsed="false" customWidth="true" hidden="false" outlineLevel="0" max="7" min="7" style="0" width="12"/>
    <col collapsed="false" customWidth="true" hidden="false" outlineLevel="0" max="8" min="8" style="0" width="11"/>
    <col collapsed="false" customWidth="true" hidden="false" outlineLevel="0" max="9" min="9" style="0" width="20"/>
  </cols>
  <sheetData>
    <row r="1" customFormat="false" ht="23.85" hidden="false" customHeight="false" outlineLevel="0" collapsed="false">
      <c r="A1" s="6" t="s">
        <v>29</v>
      </c>
      <c r="B1" s="6" t="s">
        <v>30</v>
      </c>
      <c r="C1" s="6" t="s">
        <v>31</v>
      </c>
      <c r="D1" s="6" t="s">
        <v>32</v>
      </c>
      <c r="E1" s="6" t="s">
        <v>33</v>
      </c>
      <c r="F1" s="6" t="s">
        <v>34</v>
      </c>
      <c r="G1" s="6" t="s">
        <v>35</v>
      </c>
      <c r="H1" s="6" t="s">
        <v>36</v>
      </c>
      <c r="I1" s="6" t="s">
        <v>37</v>
      </c>
    </row>
    <row r="2" customFormat="false" ht="15" hidden="false" customHeight="false" outlineLevel="0" collapsed="false">
      <c r="A2" s="7" t="s">
        <v>38</v>
      </c>
      <c r="B2" s="7" t="s">
        <v>39</v>
      </c>
      <c r="C2" s="7" t="s">
        <v>40</v>
      </c>
      <c r="D2" s="7" t="s">
        <v>41</v>
      </c>
      <c r="E2" s="8" t="s">
        <v>42</v>
      </c>
      <c r="F2" s="9" t="s">
        <v>43</v>
      </c>
      <c r="G2" s="7" t="s">
        <v>44</v>
      </c>
      <c r="H2" s="7" t="s">
        <v>45</v>
      </c>
      <c r="I2" s="7" t="s">
        <v>46</v>
      </c>
    </row>
    <row r="3" customFormat="false" ht="22.35" hidden="false" customHeight="false" outlineLevel="0" collapsed="false">
      <c r="A3" s="7" t="s">
        <v>47</v>
      </c>
      <c r="B3" s="7" t="s">
        <v>39</v>
      </c>
      <c r="C3" s="7" t="s">
        <v>48</v>
      </c>
      <c r="D3" s="7" t="s">
        <v>49</v>
      </c>
      <c r="E3" s="8" t="s">
        <v>50</v>
      </c>
      <c r="F3" s="9" t="s">
        <v>51</v>
      </c>
      <c r="G3" s="7" t="s">
        <v>44</v>
      </c>
      <c r="H3" s="7" t="s">
        <v>45</v>
      </c>
      <c r="I3" s="7" t="s">
        <v>52</v>
      </c>
    </row>
    <row r="4" customFormat="false" ht="22.35" hidden="false" customHeight="false" outlineLevel="0" collapsed="false">
      <c r="A4" s="7" t="s">
        <v>53</v>
      </c>
      <c r="B4" s="7" t="s">
        <v>54</v>
      </c>
      <c r="C4" s="7" t="s">
        <v>55</v>
      </c>
      <c r="D4" s="7" t="s">
        <v>56</v>
      </c>
      <c r="E4" s="8" t="s">
        <v>57</v>
      </c>
      <c r="F4" s="9" t="s">
        <v>51</v>
      </c>
      <c r="G4" s="7" t="s">
        <v>58</v>
      </c>
      <c r="H4" s="7" t="s">
        <v>59</v>
      </c>
      <c r="I4" s="7" t="s">
        <v>60</v>
      </c>
    </row>
    <row r="5" customFormat="false" ht="22.35" hidden="false" customHeight="false" outlineLevel="0" collapsed="false">
      <c r="A5" s="7" t="s">
        <v>61</v>
      </c>
      <c r="B5" s="7" t="s">
        <v>62</v>
      </c>
      <c r="C5" s="7" t="s">
        <v>63</v>
      </c>
      <c r="D5" s="7" t="s">
        <v>56</v>
      </c>
      <c r="E5" s="8" t="s">
        <v>64</v>
      </c>
      <c r="F5" s="9" t="s">
        <v>51</v>
      </c>
      <c r="G5" s="7" t="s">
        <v>44</v>
      </c>
      <c r="H5" s="7" t="s">
        <v>45</v>
      </c>
      <c r="I5" s="7" t="s">
        <v>65</v>
      </c>
    </row>
    <row r="6" customFormat="false" ht="22.35" hidden="false" customHeight="false" outlineLevel="0" collapsed="false">
      <c r="A6" s="7" t="s">
        <v>66</v>
      </c>
      <c r="B6" s="7" t="s">
        <v>67</v>
      </c>
      <c r="C6" s="7" t="s">
        <v>55</v>
      </c>
      <c r="D6" s="7" t="s">
        <v>56</v>
      </c>
      <c r="E6" s="8" t="s">
        <v>68</v>
      </c>
      <c r="F6" s="9" t="s">
        <v>43</v>
      </c>
      <c r="G6" s="7" t="s">
        <v>69</v>
      </c>
      <c r="H6" s="7" t="s">
        <v>59</v>
      </c>
      <c r="I6" s="7" t="s">
        <v>70</v>
      </c>
    </row>
    <row r="7" customFormat="false" ht="22.35" hidden="false" customHeight="false" outlineLevel="0" collapsed="false">
      <c r="A7" s="7" t="s">
        <v>71</v>
      </c>
      <c r="B7" s="7" t="s">
        <v>62</v>
      </c>
      <c r="C7" s="7" t="s">
        <v>55</v>
      </c>
      <c r="D7" s="7" t="s">
        <v>41</v>
      </c>
      <c r="E7" s="8" t="s">
        <v>72</v>
      </c>
      <c r="F7" s="9" t="s">
        <v>51</v>
      </c>
      <c r="G7" s="7" t="s">
        <v>73</v>
      </c>
      <c r="H7" s="7" t="s">
        <v>74</v>
      </c>
      <c r="I7" s="7" t="s">
        <v>75</v>
      </c>
    </row>
    <row r="8" customFormat="false" ht="15" hidden="false" customHeight="false" outlineLevel="0" collapsed="false">
      <c r="A8" s="7" t="s">
        <v>76</v>
      </c>
      <c r="B8" s="7" t="s">
        <v>77</v>
      </c>
      <c r="C8" s="7" t="s">
        <v>55</v>
      </c>
      <c r="D8" s="7" t="s">
        <v>49</v>
      </c>
      <c r="E8" s="8" t="s">
        <v>78</v>
      </c>
      <c r="F8" s="9" t="s">
        <v>51</v>
      </c>
      <c r="G8" s="7" t="s">
        <v>44</v>
      </c>
      <c r="H8" s="7" t="s">
        <v>45</v>
      </c>
      <c r="I8" s="7" t="s">
        <v>79</v>
      </c>
    </row>
    <row r="9" customFormat="false" ht="22.35" hidden="false" customHeight="false" outlineLevel="0" collapsed="false">
      <c r="A9" s="7" t="s">
        <v>80</v>
      </c>
      <c r="B9" s="7" t="s">
        <v>54</v>
      </c>
      <c r="C9" s="7" t="s">
        <v>63</v>
      </c>
      <c r="D9" s="7" t="s">
        <v>41</v>
      </c>
      <c r="E9" s="8" t="s">
        <v>81</v>
      </c>
      <c r="F9" s="9" t="s">
        <v>43</v>
      </c>
      <c r="G9" s="7" t="s">
        <v>44</v>
      </c>
      <c r="H9" s="7" t="s">
        <v>45</v>
      </c>
      <c r="I9" s="7" t="s">
        <v>82</v>
      </c>
    </row>
    <row r="10" customFormat="false" ht="22.35" hidden="false" customHeight="false" outlineLevel="0" collapsed="false">
      <c r="A10" s="7" t="s">
        <v>83</v>
      </c>
      <c r="B10" s="7" t="s">
        <v>84</v>
      </c>
      <c r="C10" s="7" t="s">
        <v>48</v>
      </c>
      <c r="D10" s="7" t="s">
        <v>41</v>
      </c>
      <c r="E10" s="8" t="s">
        <v>85</v>
      </c>
      <c r="F10" s="9" t="s">
        <v>51</v>
      </c>
      <c r="G10" s="7" t="s">
        <v>73</v>
      </c>
      <c r="H10" s="7" t="s">
        <v>74</v>
      </c>
      <c r="I10" s="7" t="s">
        <v>86</v>
      </c>
    </row>
    <row r="11" customFormat="false" ht="22.35" hidden="false" customHeight="false" outlineLevel="0" collapsed="false">
      <c r="A11" s="7" t="s">
        <v>87</v>
      </c>
      <c r="B11" s="7" t="s">
        <v>39</v>
      </c>
      <c r="C11" s="7" t="s">
        <v>55</v>
      </c>
      <c r="D11" s="7" t="s">
        <v>41</v>
      </c>
      <c r="E11" s="8" t="s">
        <v>88</v>
      </c>
      <c r="F11" s="9" t="s">
        <v>51</v>
      </c>
      <c r="G11" s="7" t="s">
        <v>69</v>
      </c>
      <c r="H11" s="7" t="s">
        <v>59</v>
      </c>
      <c r="I11" s="7" t="s">
        <v>89</v>
      </c>
    </row>
    <row r="12" customFormat="false" ht="22.35" hidden="false" customHeight="false" outlineLevel="0" collapsed="false">
      <c r="A12" s="7" t="s">
        <v>90</v>
      </c>
      <c r="B12" s="7" t="s">
        <v>84</v>
      </c>
      <c r="C12" s="7" t="s">
        <v>48</v>
      </c>
      <c r="D12" s="7" t="s">
        <v>91</v>
      </c>
      <c r="E12" s="8" t="s">
        <v>92</v>
      </c>
      <c r="F12" s="9" t="s">
        <v>43</v>
      </c>
      <c r="G12" s="7" t="s">
        <v>69</v>
      </c>
      <c r="H12" s="7" t="s">
        <v>59</v>
      </c>
      <c r="I12" s="7" t="s">
        <v>93</v>
      </c>
    </row>
    <row r="13" customFormat="false" ht="22.35" hidden="false" customHeight="false" outlineLevel="0" collapsed="false">
      <c r="A13" s="7" t="s">
        <v>94</v>
      </c>
      <c r="B13" s="7" t="s">
        <v>95</v>
      </c>
      <c r="C13" s="7" t="s">
        <v>40</v>
      </c>
      <c r="D13" s="7" t="s">
        <v>56</v>
      </c>
      <c r="E13" s="8" t="s">
        <v>96</v>
      </c>
      <c r="F13" s="9" t="s">
        <v>51</v>
      </c>
      <c r="G13" s="7" t="s">
        <v>69</v>
      </c>
      <c r="H13" s="7" t="s">
        <v>59</v>
      </c>
      <c r="I13" s="7" t="s">
        <v>97</v>
      </c>
    </row>
    <row r="14" customFormat="false" ht="15" hidden="false" customHeight="false" outlineLevel="0" collapsed="false">
      <c r="A14" s="7" t="s">
        <v>98</v>
      </c>
      <c r="B14" s="7" t="s">
        <v>67</v>
      </c>
      <c r="C14" s="7" t="s">
        <v>40</v>
      </c>
      <c r="D14" s="7" t="s">
        <v>99</v>
      </c>
      <c r="E14" s="8" t="s">
        <v>100</v>
      </c>
      <c r="F14" s="9" t="s">
        <v>51</v>
      </c>
      <c r="G14" s="7" t="s">
        <v>58</v>
      </c>
      <c r="H14" s="7" t="s">
        <v>59</v>
      </c>
      <c r="I14" s="7" t="s">
        <v>101</v>
      </c>
    </row>
    <row r="15" customFormat="false" ht="22.35" hidden="false" customHeight="false" outlineLevel="0" collapsed="false">
      <c r="A15" s="7" t="s">
        <v>102</v>
      </c>
      <c r="B15" s="7" t="s">
        <v>84</v>
      </c>
      <c r="C15" s="7" t="s">
        <v>63</v>
      </c>
      <c r="D15" s="7" t="s">
        <v>99</v>
      </c>
      <c r="E15" s="8" t="s">
        <v>103</v>
      </c>
      <c r="F15" s="9" t="s">
        <v>43</v>
      </c>
      <c r="G15" s="7" t="s">
        <v>44</v>
      </c>
      <c r="H15" s="7" t="s">
        <v>45</v>
      </c>
      <c r="I15" s="7" t="s">
        <v>104</v>
      </c>
    </row>
    <row r="16" customFormat="false" ht="15" hidden="false" customHeight="false" outlineLevel="0" collapsed="false">
      <c r="A16" s="7" t="s">
        <v>105</v>
      </c>
      <c r="B16" s="7" t="s">
        <v>84</v>
      </c>
      <c r="C16" s="7" t="s">
        <v>40</v>
      </c>
      <c r="D16" s="7" t="s">
        <v>99</v>
      </c>
      <c r="E16" s="8" t="s">
        <v>106</v>
      </c>
      <c r="F16" s="9" t="s">
        <v>107</v>
      </c>
      <c r="G16" s="7" t="s">
        <v>44</v>
      </c>
      <c r="H16" s="7" t="s">
        <v>45</v>
      </c>
      <c r="I16" s="7" t="s">
        <v>108</v>
      </c>
    </row>
    <row r="17" customFormat="false" ht="22.35" hidden="false" customHeight="false" outlineLevel="0" collapsed="false">
      <c r="A17" s="7" t="s">
        <v>109</v>
      </c>
      <c r="B17" s="7" t="s">
        <v>95</v>
      </c>
      <c r="C17" s="7" t="s">
        <v>40</v>
      </c>
      <c r="D17" s="7" t="s">
        <v>91</v>
      </c>
      <c r="E17" s="8" t="s">
        <v>110</v>
      </c>
      <c r="F17" s="9" t="s">
        <v>51</v>
      </c>
      <c r="G17" s="7" t="s">
        <v>44</v>
      </c>
      <c r="H17" s="7" t="s">
        <v>45</v>
      </c>
      <c r="I17" s="7" t="s">
        <v>111</v>
      </c>
    </row>
    <row r="18" customFormat="false" ht="22.35" hidden="false" customHeight="false" outlineLevel="0" collapsed="false">
      <c r="A18" s="7" t="s">
        <v>112</v>
      </c>
      <c r="B18" s="7" t="s">
        <v>84</v>
      </c>
      <c r="C18" s="7" t="s">
        <v>48</v>
      </c>
      <c r="D18" s="7" t="s">
        <v>41</v>
      </c>
      <c r="E18" s="8" t="s">
        <v>113</v>
      </c>
      <c r="F18" s="9" t="s">
        <v>51</v>
      </c>
      <c r="G18" s="7" t="s">
        <v>58</v>
      </c>
      <c r="H18" s="7" t="s">
        <v>59</v>
      </c>
      <c r="I18" s="7" t="s">
        <v>114</v>
      </c>
    </row>
    <row r="19" customFormat="false" ht="22.35" hidden="false" customHeight="false" outlineLevel="0" collapsed="false">
      <c r="A19" s="7" t="s">
        <v>115</v>
      </c>
      <c r="B19" s="7" t="s">
        <v>95</v>
      </c>
      <c r="C19" s="7" t="s">
        <v>63</v>
      </c>
      <c r="D19" s="7" t="s">
        <v>91</v>
      </c>
      <c r="E19" s="8" t="s">
        <v>116</v>
      </c>
      <c r="F19" s="9" t="s">
        <v>43</v>
      </c>
      <c r="G19" s="7" t="s">
        <v>58</v>
      </c>
      <c r="H19" s="7" t="s">
        <v>59</v>
      </c>
      <c r="I19" s="7" t="s">
        <v>117</v>
      </c>
    </row>
    <row r="20" customFormat="false" ht="15" hidden="false" customHeight="false" outlineLevel="0" collapsed="false">
      <c r="A20" s="7" t="s">
        <v>118</v>
      </c>
      <c r="B20" s="7" t="s">
        <v>77</v>
      </c>
      <c r="C20" s="7" t="s">
        <v>63</v>
      </c>
      <c r="D20" s="7" t="s">
        <v>99</v>
      </c>
      <c r="E20" s="8" t="s">
        <v>119</v>
      </c>
      <c r="F20" s="9" t="s">
        <v>51</v>
      </c>
      <c r="G20" s="7" t="s">
        <v>44</v>
      </c>
      <c r="H20" s="7" t="s">
        <v>45</v>
      </c>
      <c r="I20" s="7" t="s">
        <v>101</v>
      </c>
    </row>
    <row r="21" customFormat="false" ht="22.35" hidden="false" customHeight="false" outlineLevel="0" collapsed="false">
      <c r="A21" s="7" t="s">
        <v>120</v>
      </c>
      <c r="B21" s="7" t="s">
        <v>39</v>
      </c>
      <c r="C21" s="7" t="s">
        <v>40</v>
      </c>
      <c r="D21" s="7" t="s">
        <v>99</v>
      </c>
      <c r="E21" s="8" t="s">
        <v>121</v>
      </c>
      <c r="F21" s="9" t="s">
        <v>51</v>
      </c>
      <c r="G21" s="7" t="s">
        <v>44</v>
      </c>
      <c r="H21" s="7" t="s">
        <v>45</v>
      </c>
      <c r="I21" s="7" t="s">
        <v>122</v>
      </c>
    </row>
    <row r="22" customFormat="false" ht="22.35" hidden="false" customHeight="false" outlineLevel="0" collapsed="false">
      <c r="A22" s="7" t="s">
        <v>123</v>
      </c>
      <c r="B22" s="7" t="s">
        <v>77</v>
      </c>
      <c r="C22" s="7" t="s">
        <v>40</v>
      </c>
      <c r="D22" s="7" t="s">
        <v>49</v>
      </c>
      <c r="E22" s="8" t="s">
        <v>124</v>
      </c>
      <c r="F22" s="9" t="s">
        <v>43</v>
      </c>
      <c r="G22" s="7" t="s">
        <v>69</v>
      </c>
      <c r="H22" s="7" t="s">
        <v>59</v>
      </c>
      <c r="I22" s="7" t="s">
        <v>125</v>
      </c>
    </row>
    <row r="23" customFormat="false" ht="22.35" hidden="false" customHeight="false" outlineLevel="0" collapsed="false">
      <c r="A23" s="7" t="s">
        <v>126</v>
      </c>
      <c r="B23" s="7" t="s">
        <v>54</v>
      </c>
      <c r="C23" s="7" t="s">
        <v>63</v>
      </c>
      <c r="D23" s="7" t="s">
        <v>41</v>
      </c>
      <c r="E23" s="8" t="s">
        <v>127</v>
      </c>
      <c r="F23" s="9" t="s">
        <v>51</v>
      </c>
      <c r="G23" s="7" t="s">
        <v>69</v>
      </c>
      <c r="H23" s="7" t="s">
        <v>59</v>
      </c>
      <c r="I23" s="7" t="s">
        <v>114</v>
      </c>
    </row>
    <row r="24" customFormat="false" ht="22.35" hidden="false" customHeight="false" outlineLevel="0" collapsed="false">
      <c r="A24" s="7" t="s">
        <v>128</v>
      </c>
      <c r="B24" s="7" t="s">
        <v>39</v>
      </c>
      <c r="C24" s="7" t="s">
        <v>63</v>
      </c>
      <c r="D24" s="7" t="s">
        <v>56</v>
      </c>
      <c r="E24" s="8" t="s">
        <v>129</v>
      </c>
      <c r="F24" s="9" t="s">
        <v>51</v>
      </c>
      <c r="G24" s="7" t="s">
        <v>69</v>
      </c>
      <c r="H24" s="7" t="s">
        <v>59</v>
      </c>
      <c r="I24" s="7" t="s">
        <v>130</v>
      </c>
    </row>
    <row r="25" customFormat="false" ht="22.35" hidden="false" customHeight="false" outlineLevel="0" collapsed="false">
      <c r="A25" s="7" t="s">
        <v>131</v>
      </c>
      <c r="B25" s="7" t="s">
        <v>132</v>
      </c>
      <c r="C25" s="7" t="s">
        <v>48</v>
      </c>
      <c r="D25" s="7" t="s">
        <v>41</v>
      </c>
      <c r="E25" s="8" t="s">
        <v>133</v>
      </c>
      <c r="F25" s="9" t="s">
        <v>43</v>
      </c>
      <c r="G25" s="7" t="s">
        <v>58</v>
      </c>
      <c r="H25" s="7" t="s">
        <v>59</v>
      </c>
      <c r="I25" s="7" t="s">
        <v>114</v>
      </c>
    </row>
    <row r="26" customFormat="false" ht="22.35" hidden="false" customHeight="false" outlineLevel="0" collapsed="false">
      <c r="A26" s="7" t="s">
        <v>134</v>
      </c>
      <c r="B26" s="7" t="s">
        <v>95</v>
      </c>
      <c r="C26" s="7" t="s">
        <v>55</v>
      </c>
      <c r="D26" s="7" t="s">
        <v>49</v>
      </c>
      <c r="E26" s="8" t="s">
        <v>135</v>
      </c>
      <c r="F26" s="9" t="s">
        <v>43</v>
      </c>
      <c r="G26" s="7" t="s">
        <v>44</v>
      </c>
      <c r="H26" s="7" t="s">
        <v>45</v>
      </c>
      <c r="I26" s="7" t="s">
        <v>136</v>
      </c>
    </row>
    <row r="27" customFormat="false" ht="22.35" hidden="false" customHeight="false" outlineLevel="0" collapsed="false">
      <c r="A27" s="7" t="s">
        <v>137</v>
      </c>
      <c r="B27" s="7" t="s">
        <v>95</v>
      </c>
      <c r="C27" s="7" t="s">
        <v>40</v>
      </c>
      <c r="D27" s="7" t="s">
        <v>56</v>
      </c>
      <c r="E27" s="8" t="s">
        <v>138</v>
      </c>
      <c r="F27" s="9" t="s">
        <v>107</v>
      </c>
      <c r="G27" s="7" t="s">
        <v>139</v>
      </c>
      <c r="H27" s="7" t="s">
        <v>74</v>
      </c>
      <c r="I27" s="7" t="s">
        <v>140</v>
      </c>
    </row>
    <row r="28" customFormat="false" ht="15" hidden="false" customHeight="false" outlineLevel="0" collapsed="false">
      <c r="A28" s="7" t="s">
        <v>141</v>
      </c>
      <c r="B28" s="7" t="s">
        <v>77</v>
      </c>
      <c r="C28" s="7" t="s">
        <v>48</v>
      </c>
      <c r="D28" s="7" t="s">
        <v>56</v>
      </c>
      <c r="E28" s="8" t="s">
        <v>142</v>
      </c>
      <c r="F28" s="9" t="s">
        <v>43</v>
      </c>
      <c r="G28" s="7" t="s">
        <v>58</v>
      </c>
      <c r="H28" s="7" t="s">
        <v>59</v>
      </c>
      <c r="I28" s="7" t="s">
        <v>143</v>
      </c>
    </row>
    <row r="29" customFormat="false" ht="15" hidden="false" customHeight="false" outlineLevel="0" collapsed="false">
      <c r="A29" s="7" t="s">
        <v>144</v>
      </c>
      <c r="B29" s="7" t="s">
        <v>39</v>
      </c>
      <c r="C29" s="7" t="s">
        <v>48</v>
      </c>
      <c r="D29" s="7" t="s">
        <v>49</v>
      </c>
      <c r="E29" s="8" t="s">
        <v>145</v>
      </c>
      <c r="F29" s="9" t="s">
        <v>51</v>
      </c>
      <c r="G29" s="7" t="s">
        <v>73</v>
      </c>
      <c r="H29" s="7" t="s">
        <v>74</v>
      </c>
      <c r="I29" s="7" t="s">
        <v>52</v>
      </c>
    </row>
    <row r="30" customFormat="false" ht="15" hidden="false" customHeight="false" outlineLevel="0" collapsed="false">
      <c r="A30" s="7" t="s">
        <v>146</v>
      </c>
      <c r="B30" s="7" t="s">
        <v>54</v>
      </c>
      <c r="C30" s="7" t="s">
        <v>40</v>
      </c>
      <c r="D30" s="7" t="s">
        <v>49</v>
      </c>
      <c r="E30" s="8" t="s">
        <v>147</v>
      </c>
      <c r="F30" s="9" t="s">
        <v>51</v>
      </c>
      <c r="G30" s="7" t="s">
        <v>58</v>
      </c>
      <c r="H30" s="7" t="s">
        <v>59</v>
      </c>
      <c r="I30" s="7" t="s">
        <v>79</v>
      </c>
    </row>
    <row r="31" customFormat="false" ht="22.35" hidden="false" customHeight="false" outlineLevel="0" collapsed="false">
      <c r="A31" s="7" t="s">
        <v>148</v>
      </c>
      <c r="B31" s="7" t="s">
        <v>77</v>
      </c>
      <c r="C31" s="7" t="s">
        <v>48</v>
      </c>
      <c r="D31" s="7" t="s">
        <v>41</v>
      </c>
      <c r="E31" s="8" t="s">
        <v>149</v>
      </c>
      <c r="F31" s="9" t="s">
        <v>43</v>
      </c>
      <c r="G31" s="7" t="s">
        <v>44</v>
      </c>
      <c r="H31" s="7" t="s">
        <v>45</v>
      </c>
      <c r="I31" s="7" t="s">
        <v>46</v>
      </c>
    </row>
    <row r="32" customFormat="false" ht="15" hidden="false" customHeight="false" outlineLevel="0" collapsed="false">
      <c r="A32" s="7" t="s">
        <v>150</v>
      </c>
      <c r="B32" s="7" t="s">
        <v>77</v>
      </c>
      <c r="C32" s="7" t="s">
        <v>55</v>
      </c>
      <c r="D32" s="7" t="s">
        <v>56</v>
      </c>
      <c r="E32" s="8" t="s">
        <v>151</v>
      </c>
      <c r="F32" s="9" t="s">
        <v>51</v>
      </c>
      <c r="G32" s="7" t="s">
        <v>58</v>
      </c>
      <c r="H32" s="7" t="s">
        <v>59</v>
      </c>
      <c r="I32" s="7" t="s">
        <v>152</v>
      </c>
    </row>
    <row r="33" customFormat="false" ht="15" hidden="false" customHeight="false" outlineLevel="0" collapsed="false">
      <c r="A33" s="7" t="s">
        <v>153</v>
      </c>
      <c r="B33" s="7" t="s">
        <v>67</v>
      </c>
      <c r="C33" s="7" t="s">
        <v>63</v>
      </c>
      <c r="D33" s="7" t="s">
        <v>49</v>
      </c>
      <c r="E33" s="8" t="s">
        <v>154</v>
      </c>
      <c r="F33" s="9" t="s">
        <v>43</v>
      </c>
      <c r="G33" s="7" t="s">
        <v>44</v>
      </c>
      <c r="H33" s="7" t="s">
        <v>45</v>
      </c>
      <c r="I33" s="7" t="s">
        <v>52</v>
      </c>
    </row>
    <row r="34" customFormat="false" ht="15" hidden="false" customHeight="false" outlineLevel="0" collapsed="false">
      <c r="A34" s="7" t="s">
        <v>155</v>
      </c>
      <c r="B34" s="7" t="s">
        <v>132</v>
      </c>
      <c r="C34" s="7" t="s">
        <v>48</v>
      </c>
      <c r="D34" s="7" t="s">
        <v>91</v>
      </c>
      <c r="E34" s="8" t="s">
        <v>156</v>
      </c>
      <c r="F34" s="9" t="s">
        <v>107</v>
      </c>
      <c r="G34" s="7" t="s">
        <v>44</v>
      </c>
      <c r="H34" s="7" t="s">
        <v>45</v>
      </c>
      <c r="I34" s="7" t="s">
        <v>157</v>
      </c>
    </row>
    <row r="35" customFormat="false" ht="15" hidden="false" customHeight="false" outlineLevel="0" collapsed="false">
      <c r="A35" s="7" t="s">
        <v>158</v>
      </c>
      <c r="B35" s="7" t="s">
        <v>67</v>
      </c>
      <c r="C35" s="7" t="s">
        <v>55</v>
      </c>
      <c r="D35" s="7" t="s">
        <v>49</v>
      </c>
      <c r="E35" s="8" t="s">
        <v>159</v>
      </c>
      <c r="F35" s="9" t="s">
        <v>43</v>
      </c>
      <c r="G35" s="7" t="s">
        <v>69</v>
      </c>
      <c r="H35" s="7" t="s">
        <v>59</v>
      </c>
      <c r="I35" s="7" t="s">
        <v>125</v>
      </c>
    </row>
    <row r="36" customFormat="false" ht="15" hidden="false" customHeight="false" outlineLevel="0" collapsed="false">
      <c r="A36" s="7" t="s">
        <v>160</v>
      </c>
      <c r="B36" s="7" t="s">
        <v>84</v>
      </c>
      <c r="C36" s="7" t="s">
        <v>48</v>
      </c>
      <c r="D36" s="7" t="s">
        <v>56</v>
      </c>
      <c r="E36" s="8" t="s">
        <v>161</v>
      </c>
      <c r="F36" s="9" t="s">
        <v>107</v>
      </c>
      <c r="G36" s="7" t="s">
        <v>44</v>
      </c>
      <c r="H36" s="7" t="s">
        <v>45</v>
      </c>
      <c r="I36" s="7" t="s">
        <v>162</v>
      </c>
    </row>
    <row r="37" customFormat="false" ht="22.35" hidden="false" customHeight="false" outlineLevel="0" collapsed="false">
      <c r="A37" s="7" t="s">
        <v>163</v>
      </c>
      <c r="B37" s="7" t="s">
        <v>132</v>
      </c>
      <c r="C37" s="7" t="s">
        <v>48</v>
      </c>
      <c r="D37" s="7" t="s">
        <v>41</v>
      </c>
      <c r="E37" s="8" t="s">
        <v>164</v>
      </c>
      <c r="F37" s="9" t="s">
        <v>107</v>
      </c>
      <c r="G37" s="7" t="s">
        <v>44</v>
      </c>
      <c r="H37" s="7" t="s">
        <v>45</v>
      </c>
      <c r="I37" s="7" t="s">
        <v>82</v>
      </c>
    </row>
    <row r="38" customFormat="false" ht="22.35" hidden="false" customHeight="false" outlineLevel="0" collapsed="false">
      <c r="A38" s="7" t="s">
        <v>165</v>
      </c>
      <c r="B38" s="7" t="s">
        <v>77</v>
      </c>
      <c r="C38" s="7" t="s">
        <v>55</v>
      </c>
      <c r="D38" s="7" t="s">
        <v>41</v>
      </c>
      <c r="E38" s="8" t="s">
        <v>166</v>
      </c>
      <c r="F38" s="9" t="s">
        <v>43</v>
      </c>
      <c r="G38" s="7" t="s">
        <v>58</v>
      </c>
      <c r="H38" s="7" t="s">
        <v>59</v>
      </c>
      <c r="I38" s="7" t="s">
        <v>82</v>
      </c>
    </row>
    <row r="39" customFormat="false" ht="22.35" hidden="false" customHeight="false" outlineLevel="0" collapsed="false">
      <c r="A39" s="7" t="s">
        <v>167</v>
      </c>
      <c r="B39" s="7" t="s">
        <v>84</v>
      </c>
      <c r="C39" s="7" t="s">
        <v>55</v>
      </c>
      <c r="D39" s="7" t="s">
        <v>99</v>
      </c>
      <c r="E39" s="8" t="s">
        <v>168</v>
      </c>
      <c r="F39" s="9" t="s">
        <v>43</v>
      </c>
      <c r="G39" s="7" t="s">
        <v>44</v>
      </c>
      <c r="H39" s="7" t="s">
        <v>45</v>
      </c>
      <c r="I39" s="7" t="s">
        <v>169</v>
      </c>
    </row>
    <row r="40" customFormat="false" ht="22.35" hidden="false" customHeight="false" outlineLevel="0" collapsed="false">
      <c r="A40" s="7" t="s">
        <v>170</v>
      </c>
      <c r="B40" s="7" t="s">
        <v>62</v>
      </c>
      <c r="C40" s="7" t="s">
        <v>48</v>
      </c>
      <c r="D40" s="7" t="s">
        <v>41</v>
      </c>
      <c r="E40" s="8" t="s">
        <v>171</v>
      </c>
      <c r="F40" s="9" t="s">
        <v>51</v>
      </c>
      <c r="G40" s="7" t="s">
        <v>44</v>
      </c>
      <c r="H40" s="7" t="s">
        <v>45</v>
      </c>
      <c r="I40" s="7" t="s">
        <v>172</v>
      </c>
    </row>
    <row r="41" customFormat="false" ht="15" hidden="false" customHeight="false" outlineLevel="0" collapsed="false">
      <c r="A41" s="7" t="s">
        <v>173</v>
      </c>
      <c r="B41" s="7" t="s">
        <v>132</v>
      </c>
      <c r="C41" s="7" t="s">
        <v>48</v>
      </c>
      <c r="D41" s="7" t="s">
        <v>99</v>
      </c>
      <c r="E41" s="8" t="s">
        <v>174</v>
      </c>
      <c r="F41" s="9" t="s">
        <v>43</v>
      </c>
      <c r="G41" s="7" t="s">
        <v>44</v>
      </c>
      <c r="H41" s="7" t="s">
        <v>45</v>
      </c>
      <c r="I41" s="7" t="s">
        <v>175</v>
      </c>
    </row>
    <row r="42" customFormat="false" ht="15" hidden="false" customHeight="false" outlineLevel="0" collapsed="false">
      <c r="A42" s="7" t="s">
        <v>176</v>
      </c>
      <c r="B42" s="7" t="s">
        <v>95</v>
      </c>
      <c r="C42" s="7" t="s">
        <v>63</v>
      </c>
      <c r="D42" s="7" t="s">
        <v>91</v>
      </c>
      <c r="E42" s="8" t="s">
        <v>177</v>
      </c>
      <c r="F42" s="9" t="s">
        <v>43</v>
      </c>
      <c r="G42" s="7" t="s">
        <v>58</v>
      </c>
      <c r="H42" s="7" t="s">
        <v>59</v>
      </c>
      <c r="I42" s="7" t="s">
        <v>178</v>
      </c>
    </row>
    <row r="43" customFormat="false" ht="22.35" hidden="false" customHeight="false" outlineLevel="0" collapsed="false">
      <c r="A43" s="7" t="s">
        <v>179</v>
      </c>
      <c r="B43" s="7" t="s">
        <v>95</v>
      </c>
      <c r="C43" s="7" t="s">
        <v>40</v>
      </c>
      <c r="D43" s="7" t="s">
        <v>56</v>
      </c>
      <c r="E43" s="8" t="s">
        <v>180</v>
      </c>
      <c r="F43" s="9" t="s">
        <v>43</v>
      </c>
      <c r="G43" s="7" t="s">
        <v>69</v>
      </c>
      <c r="H43" s="7" t="s">
        <v>59</v>
      </c>
      <c r="I43" s="7" t="s">
        <v>140</v>
      </c>
    </row>
    <row r="44" customFormat="false" ht="15" hidden="false" customHeight="false" outlineLevel="0" collapsed="false">
      <c r="A44" s="7" t="s">
        <v>181</v>
      </c>
      <c r="B44" s="7" t="s">
        <v>84</v>
      </c>
      <c r="C44" s="7" t="s">
        <v>40</v>
      </c>
      <c r="D44" s="7" t="s">
        <v>41</v>
      </c>
      <c r="E44" s="8" t="s">
        <v>182</v>
      </c>
      <c r="F44" s="9" t="s">
        <v>51</v>
      </c>
      <c r="G44" s="7" t="s">
        <v>44</v>
      </c>
      <c r="H44" s="7" t="s">
        <v>45</v>
      </c>
      <c r="I44" s="7" t="s">
        <v>183</v>
      </c>
    </row>
    <row r="45" customFormat="false" ht="15" hidden="false" customHeight="false" outlineLevel="0" collapsed="false">
      <c r="A45" s="7" t="s">
        <v>184</v>
      </c>
      <c r="B45" s="7" t="s">
        <v>54</v>
      </c>
      <c r="C45" s="7" t="s">
        <v>40</v>
      </c>
      <c r="D45" s="7" t="s">
        <v>49</v>
      </c>
      <c r="E45" s="8" t="s">
        <v>185</v>
      </c>
      <c r="F45" s="9" t="s">
        <v>107</v>
      </c>
      <c r="G45" s="7" t="s">
        <v>44</v>
      </c>
      <c r="H45" s="7" t="s">
        <v>45</v>
      </c>
      <c r="I45" s="7" t="s">
        <v>186</v>
      </c>
    </row>
    <row r="46" customFormat="false" ht="22.35" hidden="false" customHeight="false" outlineLevel="0" collapsed="false">
      <c r="A46" s="7" t="s">
        <v>187</v>
      </c>
      <c r="B46" s="7" t="s">
        <v>77</v>
      </c>
      <c r="C46" s="7" t="s">
        <v>55</v>
      </c>
      <c r="D46" s="7" t="s">
        <v>49</v>
      </c>
      <c r="E46" s="8" t="s">
        <v>188</v>
      </c>
      <c r="F46" s="9" t="s">
        <v>51</v>
      </c>
      <c r="G46" s="7" t="s">
        <v>73</v>
      </c>
      <c r="H46" s="7" t="s">
        <v>74</v>
      </c>
      <c r="I46" s="7" t="s">
        <v>79</v>
      </c>
    </row>
    <row r="47" customFormat="false" ht="22.35" hidden="false" customHeight="false" outlineLevel="0" collapsed="false">
      <c r="A47" s="7" t="s">
        <v>189</v>
      </c>
      <c r="B47" s="7" t="s">
        <v>132</v>
      </c>
      <c r="C47" s="7" t="s">
        <v>48</v>
      </c>
      <c r="D47" s="7" t="s">
        <v>56</v>
      </c>
      <c r="E47" s="8" t="s">
        <v>190</v>
      </c>
      <c r="F47" s="9" t="s">
        <v>43</v>
      </c>
      <c r="G47" s="7" t="s">
        <v>44</v>
      </c>
      <c r="H47" s="7" t="s">
        <v>45</v>
      </c>
      <c r="I47" s="7" t="s">
        <v>191</v>
      </c>
    </row>
    <row r="48" customFormat="false" ht="22.35" hidden="false" customHeight="false" outlineLevel="0" collapsed="false">
      <c r="A48" s="7" t="s">
        <v>192</v>
      </c>
      <c r="B48" s="7" t="s">
        <v>95</v>
      </c>
      <c r="C48" s="7" t="s">
        <v>63</v>
      </c>
      <c r="D48" s="7" t="s">
        <v>99</v>
      </c>
      <c r="E48" s="8" t="s">
        <v>193</v>
      </c>
      <c r="F48" s="9" t="s">
        <v>51</v>
      </c>
      <c r="G48" s="7" t="s">
        <v>69</v>
      </c>
      <c r="H48" s="7" t="s">
        <v>59</v>
      </c>
      <c r="I48" s="7" t="s">
        <v>169</v>
      </c>
    </row>
    <row r="49" customFormat="false" ht="22.35" hidden="false" customHeight="false" outlineLevel="0" collapsed="false">
      <c r="A49" s="7" t="s">
        <v>194</v>
      </c>
      <c r="B49" s="7" t="s">
        <v>132</v>
      </c>
      <c r="C49" s="7" t="s">
        <v>40</v>
      </c>
      <c r="D49" s="7" t="s">
        <v>56</v>
      </c>
      <c r="E49" s="8" t="s">
        <v>195</v>
      </c>
      <c r="F49" s="9" t="s">
        <v>51</v>
      </c>
      <c r="G49" s="7" t="s">
        <v>69</v>
      </c>
      <c r="H49" s="7" t="s">
        <v>59</v>
      </c>
      <c r="I49" s="7" t="s">
        <v>196</v>
      </c>
    </row>
    <row r="50" customFormat="false" ht="15" hidden="false" customHeight="false" outlineLevel="0" collapsed="false">
      <c r="A50" s="7" t="s">
        <v>197</v>
      </c>
      <c r="B50" s="7" t="s">
        <v>95</v>
      </c>
      <c r="C50" s="7" t="s">
        <v>55</v>
      </c>
      <c r="D50" s="7" t="s">
        <v>91</v>
      </c>
      <c r="E50" s="8" t="s">
        <v>198</v>
      </c>
      <c r="F50" s="9" t="s">
        <v>43</v>
      </c>
      <c r="G50" s="7" t="s">
        <v>44</v>
      </c>
      <c r="H50" s="7" t="s">
        <v>45</v>
      </c>
      <c r="I50" s="7" t="s">
        <v>199</v>
      </c>
    </row>
    <row r="51" customFormat="false" ht="22.35" hidden="false" customHeight="false" outlineLevel="0" collapsed="false">
      <c r="A51" s="7" t="s">
        <v>200</v>
      </c>
      <c r="B51" s="7" t="s">
        <v>67</v>
      </c>
      <c r="C51" s="7" t="s">
        <v>55</v>
      </c>
      <c r="D51" s="7" t="s">
        <v>56</v>
      </c>
      <c r="E51" s="8" t="s">
        <v>201</v>
      </c>
      <c r="F51" s="9" t="s">
        <v>43</v>
      </c>
      <c r="G51" s="7" t="s">
        <v>69</v>
      </c>
      <c r="H51" s="7" t="s">
        <v>59</v>
      </c>
      <c r="I51" s="7" t="s">
        <v>202</v>
      </c>
    </row>
    <row r="52" customFormat="false" ht="22.35" hidden="false" customHeight="false" outlineLevel="0" collapsed="false">
      <c r="A52" s="7" t="s">
        <v>203</v>
      </c>
      <c r="B52" s="7" t="s">
        <v>39</v>
      </c>
      <c r="C52" s="7" t="s">
        <v>55</v>
      </c>
      <c r="D52" s="7" t="s">
        <v>41</v>
      </c>
      <c r="E52" s="8" t="s">
        <v>204</v>
      </c>
      <c r="F52" s="9" t="s">
        <v>51</v>
      </c>
      <c r="G52" s="7" t="s">
        <v>73</v>
      </c>
      <c r="H52" s="7" t="s">
        <v>74</v>
      </c>
      <c r="I52" s="7" t="s">
        <v>205</v>
      </c>
    </row>
    <row r="53" customFormat="false" ht="22.35" hidden="false" customHeight="false" outlineLevel="0" collapsed="false">
      <c r="A53" s="7" t="s">
        <v>206</v>
      </c>
      <c r="B53" s="7" t="s">
        <v>67</v>
      </c>
      <c r="C53" s="7" t="s">
        <v>55</v>
      </c>
      <c r="D53" s="7" t="s">
        <v>56</v>
      </c>
      <c r="E53" s="8" t="s">
        <v>207</v>
      </c>
      <c r="F53" s="9" t="s">
        <v>43</v>
      </c>
      <c r="G53" s="7" t="s">
        <v>44</v>
      </c>
      <c r="H53" s="7" t="s">
        <v>45</v>
      </c>
      <c r="I53" s="7" t="s">
        <v>208</v>
      </c>
    </row>
    <row r="54" customFormat="false" ht="22.35" hidden="false" customHeight="false" outlineLevel="0" collapsed="false">
      <c r="A54" s="7" t="s">
        <v>209</v>
      </c>
      <c r="B54" s="7" t="s">
        <v>77</v>
      </c>
      <c r="C54" s="7" t="s">
        <v>63</v>
      </c>
      <c r="D54" s="7" t="s">
        <v>99</v>
      </c>
      <c r="E54" s="8" t="s">
        <v>210</v>
      </c>
      <c r="F54" s="9" t="s">
        <v>51</v>
      </c>
      <c r="G54" s="7" t="s">
        <v>69</v>
      </c>
      <c r="H54" s="7" t="s">
        <v>59</v>
      </c>
      <c r="I54" s="7" t="s">
        <v>101</v>
      </c>
    </row>
    <row r="55" customFormat="false" ht="22.35" hidden="false" customHeight="false" outlineLevel="0" collapsed="false">
      <c r="A55" s="7" t="s">
        <v>211</v>
      </c>
      <c r="B55" s="7" t="s">
        <v>39</v>
      </c>
      <c r="C55" s="7" t="s">
        <v>63</v>
      </c>
      <c r="D55" s="7" t="s">
        <v>49</v>
      </c>
      <c r="E55" s="8" t="s">
        <v>212</v>
      </c>
      <c r="F55" s="9" t="s">
        <v>51</v>
      </c>
      <c r="G55" s="7" t="s">
        <v>69</v>
      </c>
      <c r="H55" s="7" t="s">
        <v>59</v>
      </c>
      <c r="I55" s="7" t="s">
        <v>79</v>
      </c>
    </row>
    <row r="56" customFormat="false" ht="15" hidden="false" customHeight="false" outlineLevel="0" collapsed="false">
      <c r="A56" s="7" t="s">
        <v>213</v>
      </c>
      <c r="B56" s="7" t="s">
        <v>62</v>
      </c>
      <c r="C56" s="7" t="s">
        <v>48</v>
      </c>
      <c r="D56" s="7" t="s">
        <v>56</v>
      </c>
      <c r="E56" s="8" t="s">
        <v>214</v>
      </c>
      <c r="F56" s="9" t="s">
        <v>43</v>
      </c>
      <c r="G56" s="7" t="s">
        <v>44</v>
      </c>
      <c r="H56" s="7" t="s">
        <v>45</v>
      </c>
      <c r="I56" s="7" t="s">
        <v>215</v>
      </c>
    </row>
    <row r="57" customFormat="false" ht="22.35" hidden="false" customHeight="false" outlineLevel="0" collapsed="false">
      <c r="A57" s="7" t="s">
        <v>216</v>
      </c>
      <c r="B57" s="7" t="s">
        <v>39</v>
      </c>
      <c r="C57" s="7" t="s">
        <v>40</v>
      </c>
      <c r="D57" s="7" t="s">
        <v>49</v>
      </c>
      <c r="E57" s="8" t="s">
        <v>217</v>
      </c>
      <c r="F57" s="9" t="s">
        <v>51</v>
      </c>
      <c r="G57" s="7" t="s">
        <v>73</v>
      </c>
      <c r="H57" s="7" t="s">
        <v>74</v>
      </c>
      <c r="I57" s="7" t="s">
        <v>136</v>
      </c>
    </row>
    <row r="58" customFormat="false" ht="22.35" hidden="false" customHeight="false" outlineLevel="0" collapsed="false">
      <c r="A58" s="7" t="s">
        <v>218</v>
      </c>
      <c r="B58" s="7" t="s">
        <v>77</v>
      </c>
      <c r="C58" s="7" t="s">
        <v>48</v>
      </c>
      <c r="D58" s="7" t="s">
        <v>99</v>
      </c>
      <c r="E58" s="8" t="s">
        <v>219</v>
      </c>
      <c r="F58" s="9" t="s">
        <v>51</v>
      </c>
      <c r="G58" s="7" t="s">
        <v>44</v>
      </c>
      <c r="H58" s="7" t="s">
        <v>45</v>
      </c>
      <c r="I58" s="7" t="s">
        <v>108</v>
      </c>
    </row>
    <row r="59" customFormat="false" ht="15" hidden="false" customHeight="false" outlineLevel="0" collapsed="false">
      <c r="A59" s="7" t="s">
        <v>220</v>
      </c>
      <c r="B59" s="7" t="s">
        <v>62</v>
      </c>
      <c r="C59" s="7" t="s">
        <v>55</v>
      </c>
      <c r="D59" s="7" t="s">
        <v>56</v>
      </c>
      <c r="E59" s="8" t="s">
        <v>221</v>
      </c>
      <c r="F59" s="9" t="s">
        <v>51</v>
      </c>
      <c r="G59" s="7" t="s">
        <v>58</v>
      </c>
      <c r="H59" s="7" t="s">
        <v>59</v>
      </c>
      <c r="I59" s="7" t="s">
        <v>222</v>
      </c>
    </row>
    <row r="60" customFormat="false" ht="22.35" hidden="false" customHeight="false" outlineLevel="0" collapsed="false">
      <c r="A60" s="7" t="s">
        <v>223</v>
      </c>
      <c r="B60" s="7" t="s">
        <v>77</v>
      </c>
      <c r="C60" s="7" t="s">
        <v>55</v>
      </c>
      <c r="D60" s="7" t="s">
        <v>41</v>
      </c>
      <c r="E60" s="8" t="s">
        <v>224</v>
      </c>
      <c r="F60" s="9" t="s">
        <v>51</v>
      </c>
      <c r="G60" s="7" t="s">
        <v>69</v>
      </c>
      <c r="H60" s="7" t="s">
        <v>59</v>
      </c>
      <c r="I60" s="7" t="s">
        <v>225</v>
      </c>
    </row>
    <row r="61" customFormat="false" ht="22.35" hidden="false" customHeight="false" outlineLevel="0" collapsed="false">
      <c r="A61" s="7" t="s">
        <v>226</v>
      </c>
      <c r="B61" s="7" t="s">
        <v>54</v>
      </c>
      <c r="C61" s="7" t="s">
        <v>40</v>
      </c>
      <c r="D61" s="7" t="s">
        <v>99</v>
      </c>
      <c r="E61" s="8" t="s">
        <v>227</v>
      </c>
      <c r="F61" s="9" t="s">
        <v>107</v>
      </c>
      <c r="G61" s="7" t="s">
        <v>44</v>
      </c>
      <c r="H61" s="7" t="s">
        <v>45</v>
      </c>
      <c r="I61" s="7" t="s">
        <v>122</v>
      </c>
    </row>
    <row r="62" customFormat="false" ht="22.35" hidden="false" customHeight="false" outlineLevel="0" collapsed="false">
      <c r="A62" s="7" t="s">
        <v>228</v>
      </c>
      <c r="B62" s="7" t="s">
        <v>132</v>
      </c>
      <c r="C62" s="7" t="s">
        <v>40</v>
      </c>
      <c r="D62" s="7" t="s">
        <v>99</v>
      </c>
      <c r="E62" s="8" t="s">
        <v>229</v>
      </c>
      <c r="F62" s="9" t="s">
        <v>51</v>
      </c>
      <c r="G62" s="7" t="s">
        <v>44</v>
      </c>
      <c r="H62" s="7" t="s">
        <v>45</v>
      </c>
      <c r="I62" s="7" t="s">
        <v>175</v>
      </c>
    </row>
    <row r="63" customFormat="false" ht="22.35" hidden="false" customHeight="false" outlineLevel="0" collapsed="false">
      <c r="A63" s="7" t="s">
        <v>230</v>
      </c>
      <c r="B63" s="7" t="s">
        <v>132</v>
      </c>
      <c r="C63" s="7" t="s">
        <v>55</v>
      </c>
      <c r="D63" s="7" t="s">
        <v>41</v>
      </c>
      <c r="E63" s="8" t="s">
        <v>231</v>
      </c>
      <c r="F63" s="9" t="s">
        <v>51</v>
      </c>
      <c r="G63" s="7" t="s">
        <v>44</v>
      </c>
      <c r="H63" s="7" t="s">
        <v>45</v>
      </c>
      <c r="I63" s="7" t="s">
        <v>232</v>
      </c>
    </row>
    <row r="64" customFormat="false" ht="22.35" hidden="false" customHeight="false" outlineLevel="0" collapsed="false">
      <c r="A64" s="7" t="s">
        <v>233</v>
      </c>
      <c r="B64" s="7" t="s">
        <v>54</v>
      </c>
      <c r="C64" s="7" t="s">
        <v>48</v>
      </c>
      <c r="D64" s="7" t="s">
        <v>41</v>
      </c>
      <c r="E64" s="8" t="s">
        <v>234</v>
      </c>
      <c r="F64" s="9" t="s">
        <v>51</v>
      </c>
      <c r="G64" s="7" t="s">
        <v>69</v>
      </c>
      <c r="H64" s="7" t="s">
        <v>59</v>
      </c>
      <c r="I64" s="7" t="s">
        <v>82</v>
      </c>
    </row>
    <row r="65" customFormat="false" ht="22.35" hidden="false" customHeight="false" outlineLevel="0" collapsed="false">
      <c r="A65" s="7" t="s">
        <v>235</v>
      </c>
      <c r="B65" s="7" t="s">
        <v>84</v>
      </c>
      <c r="C65" s="7" t="s">
        <v>63</v>
      </c>
      <c r="D65" s="7" t="s">
        <v>49</v>
      </c>
      <c r="E65" s="8" t="s">
        <v>236</v>
      </c>
      <c r="F65" s="9" t="s">
        <v>51</v>
      </c>
      <c r="G65" s="7" t="s">
        <v>44</v>
      </c>
      <c r="H65" s="7" t="s">
        <v>45</v>
      </c>
      <c r="I65" s="7" t="s">
        <v>125</v>
      </c>
    </row>
    <row r="66" customFormat="false" ht="22.35" hidden="false" customHeight="false" outlineLevel="0" collapsed="false">
      <c r="A66" s="7" t="s">
        <v>237</v>
      </c>
      <c r="B66" s="7" t="s">
        <v>77</v>
      </c>
      <c r="C66" s="7" t="s">
        <v>55</v>
      </c>
      <c r="D66" s="7" t="s">
        <v>91</v>
      </c>
      <c r="E66" s="8" t="s">
        <v>238</v>
      </c>
      <c r="F66" s="9" t="s">
        <v>51</v>
      </c>
      <c r="G66" s="7" t="s">
        <v>58</v>
      </c>
      <c r="H66" s="7" t="s">
        <v>59</v>
      </c>
      <c r="I66" s="7" t="s">
        <v>239</v>
      </c>
    </row>
    <row r="67" customFormat="false" ht="22.35" hidden="false" customHeight="false" outlineLevel="0" collapsed="false">
      <c r="A67" s="7" t="s">
        <v>240</v>
      </c>
      <c r="B67" s="7" t="s">
        <v>54</v>
      </c>
      <c r="C67" s="7" t="s">
        <v>55</v>
      </c>
      <c r="D67" s="7" t="s">
        <v>56</v>
      </c>
      <c r="E67" s="8" t="s">
        <v>241</v>
      </c>
      <c r="F67" s="9" t="s">
        <v>51</v>
      </c>
      <c r="G67" s="7" t="s">
        <v>58</v>
      </c>
      <c r="H67" s="7" t="s">
        <v>59</v>
      </c>
      <c r="I67" s="7" t="s">
        <v>242</v>
      </c>
    </row>
    <row r="68" customFormat="false" ht="22.35" hidden="false" customHeight="false" outlineLevel="0" collapsed="false">
      <c r="A68" s="7" t="s">
        <v>243</v>
      </c>
      <c r="B68" s="7" t="s">
        <v>95</v>
      </c>
      <c r="C68" s="7" t="s">
        <v>48</v>
      </c>
      <c r="D68" s="7" t="s">
        <v>91</v>
      </c>
      <c r="E68" s="8" t="s">
        <v>244</v>
      </c>
      <c r="F68" s="9" t="s">
        <v>43</v>
      </c>
      <c r="G68" s="7" t="s">
        <v>69</v>
      </c>
      <c r="H68" s="7" t="s">
        <v>59</v>
      </c>
      <c r="I68" s="7" t="s">
        <v>245</v>
      </c>
    </row>
    <row r="69" customFormat="false" ht="22.35" hidden="false" customHeight="false" outlineLevel="0" collapsed="false">
      <c r="A69" s="7" t="s">
        <v>246</v>
      </c>
      <c r="B69" s="7" t="s">
        <v>67</v>
      </c>
      <c r="C69" s="7" t="s">
        <v>48</v>
      </c>
      <c r="D69" s="7" t="s">
        <v>49</v>
      </c>
      <c r="E69" s="8" t="s">
        <v>247</v>
      </c>
      <c r="F69" s="9" t="s">
        <v>43</v>
      </c>
      <c r="G69" s="7" t="s">
        <v>69</v>
      </c>
      <c r="H69" s="7" t="s">
        <v>59</v>
      </c>
      <c r="I69" s="7" t="s">
        <v>79</v>
      </c>
    </row>
    <row r="70" customFormat="false" ht="22.35" hidden="false" customHeight="false" outlineLevel="0" collapsed="false">
      <c r="A70" s="7" t="s">
        <v>248</v>
      </c>
      <c r="B70" s="7" t="s">
        <v>39</v>
      </c>
      <c r="C70" s="7" t="s">
        <v>55</v>
      </c>
      <c r="D70" s="7" t="s">
        <v>49</v>
      </c>
      <c r="E70" s="8" t="s">
        <v>249</v>
      </c>
      <c r="F70" s="9" t="s">
        <v>107</v>
      </c>
      <c r="G70" s="7" t="s">
        <v>44</v>
      </c>
      <c r="H70" s="7" t="s">
        <v>45</v>
      </c>
      <c r="I70" s="7" t="s">
        <v>136</v>
      </c>
    </row>
    <row r="71" customFormat="false" ht="22.35" hidden="false" customHeight="false" outlineLevel="0" collapsed="false">
      <c r="A71" s="7" t="s">
        <v>250</v>
      </c>
      <c r="B71" s="7" t="s">
        <v>39</v>
      </c>
      <c r="C71" s="7" t="s">
        <v>55</v>
      </c>
      <c r="D71" s="7" t="s">
        <v>91</v>
      </c>
      <c r="E71" s="8" t="s">
        <v>251</v>
      </c>
      <c r="F71" s="9" t="s">
        <v>51</v>
      </c>
      <c r="G71" s="7" t="s">
        <v>44</v>
      </c>
      <c r="H71" s="7" t="s">
        <v>45</v>
      </c>
      <c r="I71" s="7" t="s">
        <v>252</v>
      </c>
    </row>
    <row r="72" customFormat="false" ht="22.35" hidden="false" customHeight="false" outlineLevel="0" collapsed="false">
      <c r="A72" s="7" t="s">
        <v>253</v>
      </c>
      <c r="B72" s="7" t="s">
        <v>39</v>
      </c>
      <c r="C72" s="7" t="s">
        <v>63</v>
      </c>
      <c r="D72" s="7" t="s">
        <v>49</v>
      </c>
      <c r="E72" s="8" t="s">
        <v>254</v>
      </c>
      <c r="F72" s="9" t="s">
        <v>107</v>
      </c>
      <c r="G72" s="7" t="s">
        <v>44</v>
      </c>
      <c r="H72" s="7" t="s">
        <v>45</v>
      </c>
      <c r="I72" s="7" t="s">
        <v>79</v>
      </c>
    </row>
    <row r="73" customFormat="false" ht="22.35" hidden="false" customHeight="false" outlineLevel="0" collapsed="false">
      <c r="A73" s="7" t="s">
        <v>255</v>
      </c>
      <c r="B73" s="7" t="s">
        <v>39</v>
      </c>
      <c r="C73" s="7" t="s">
        <v>40</v>
      </c>
      <c r="D73" s="7" t="s">
        <v>41</v>
      </c>
      <c r="E73" s="8" t="s">
        <v>256</v>
      </c>
      <c r="F73" s="9" t="s">
        <v>107</v>
      </c>
      <c r="G73" s="7" t="s">
        <v>139</v>
      </c>
      <c r="H73" s="7" t="s">
        <v>74</v>
      </c>
      <c r="I73" s="7" t="s">
        <v>114</v>
      </c>
    </row>
    <row r="74" customFormat="false" ht="22.35" hidden="false" customHeight="false" outlineLevel="0" collapsed="false">
      <c r="A74" s="7" t="s">
        <v>257</v>
      </c>
      <c r="B74" s="7" t="s">
        <v>77</v>
      </c>
      <c r="C74" s="7" t="s">
        <v>55</v>
      </c>
      <c r="D74" s="7" t="s">
        <v>49</v>
      </c>
      <c r="E74" s="8" t="s">
        <v>258</v>
      </c>
      <c r="F74" s="9" t="s">
        <v>51</v>
      </c>
      <c r="G74" s="7" t="s">
        <v>73</v>
      </c>
      <c r="H74" s="7" t="s">
        <v>74</v>
      </c>
      <c r="I74" s="7" t="s">
        <v>125</v>
      </c>
    </row>
    <row r="75" customFormat="false" ht="22.35" hidden="false" customHeight="false" outlineLevel="0" collapsed="false">
      <c r="A75" s="7" t="s">
        <v>259</v>
      </c>
      <c r="B75" s="7" t="s">
        <v>132</v>
      </c>
      <c r="C75" s="7" t="s">
        <v>48</v>
      </c>
      <c r="D75" s="7" t="s">
        <v>91</v>
      </c>
      <c r="E75" s="8" t="s">
        <v>260</v>
      </c>
      <c r="F75" s="9" t="s">
        <v>107</v>
      </c>
      <c r="G75" s="7" t="s">
        <v>44</v>
      </c>
      <c r="H75" s="7" t="s">
        <v>45</v>
      </c>
      <c r="I75" s="7" t="s">
        <v>261</v>
      </c>
    </row>
    <row r="76" customFormat="false" ht="22.35" hidden="false" customHeight="false" outlineLevel="0" collapsed="false">
      <c r="A76" s="7" t="s">
        <v>262</v>
      </c>
      <c r="B76" s="7" t="s">
        <v>95</v>
      </c>
      <c r="C76" s="7" t="s">
        <v>48</v>
      </c>
      <c r="D76" s="7" t="s">
        <v>56</v>
      </c>
      <c r="E76" s="8" t="s">
        <v>263</v>
      </c>
      <c r="F76" s="9" t="s">
        <v>51</v>
      </c>
      <c r="G76" s="7" t="s">
        <v>44</v>
      </c>
      <c r="H76" s="7" t="s">
        <v>45</v>
      </c>
      <c r="I76" s="7" t="s">
        <v>264</v>
      </c>
    </row>
    <row r="77" customFormat="false" ht="15" hidden="false" customHeight="false" outlineLevel="0" collapsed="false">
      <c r="A77" s="7" t="s">
        <v>265</v>
      </c>
      <c r="B77" s="7" t="s">
        <v>54</v>
      </c>
      <c r="C77" s="7" t="s">
        <v>40</v>
      </c>
      <c r="D77" s="7" t="s">
        <v>41</v>
      </c>
      <c r="E77" s="8" t="s">
        <v>266</v>
      </c>
      <c r="F77" s="9" t="s">
        <v>107</v>
      </c>
      <c r="G77" s="7" t="s">
        <v>44</v>
      </c>
      <c r="H77" s="7" t="s">
        <v>45</v>
      </c>
      <c r="I77" s="7" t="s">
        <v>267</v>
      </c>
    </row>
    <row r="78" customFormat="false" ht="22.35" hidden="false" customHeight="false" outlineLevel="0" collapsed="false">
      <c r="A78" s="7" t="s">
        <v>268</v>
      </c>
      <c r="B78" s="7" t="s">
        <v>95</v>
      </c>
      <c r="C78" s="7" t="s">
        <v>40</v>
      </c>
      <c r="D78" s="7" t="s">
        <v>99</v>
      </c>
      <c r="E78" s="8" t="s">
        <v>269</v>
      </c>
      <c r="F78" s="9" t="s">
        <v>43</v>
      </c>
      <c r="G78" s="7" t="s">
        <v>44</v>
      </c>
      <c r="H78" s="7" t="s">
        <v>45</v>
      </c>
      <c r="I78" s="7" t="s">
        <v>108</v>
      </c>
    </row>
    <row r="79" customFormat="false" ht="15" hidden="false" customHeight="false" outlineLevel="0" collapsed="false">
      <c r="A79" s="7" t="s">
        <v>270</v>
      </c>
      <c r="B79" s="7" t="s">
        <v>39</v>
      </c>
      <c r="C79" s="7" t="s">
        <v>48</v>
      </c>
      <c r="D79" s="7" t="s">
        <v>49</v>
      </c>
      <c r="E79" s="8" t="s">
        <v>271</v>
      </c>
      <c r="F79" s="9" t="s">
        <v>107</v>
      </c>
      <c r="G79" s="7" t="s">
        <v>73</v>
      </c>
      <c r="H79" s="7" t="s">
        <v>74</v>
      </c>
      <c r="I79" s="7" t="s">
        <v>186</v>
      </c>
    </row>
    <row r="80" customFormat="false" ht="22.35" hidden="false" customHeight="false" outlineLevel="0" collapsed="false">
      <c r="A80" s="7" t="s">
        <v>272</v>
      </c>
      <c r="B80" s="7" t="s">
        <v>84</v>
      </c>
      <c r="C80" s="7" t="s">
        <v>40</v>
      </c>
      <c r="D80" s="7" t="s">
        <v>49</v>
      </c>
      <c r="E80" s="8" t="s">
        <v>273</v>
      </c>
      <c r="F80" s="9" t="s">
        <v>51</v>
      </c>
      <c r="G80" s="7" t="s">
        <v>58</v>
      </c>
      <c r="H80" s="7" t="s">
        <v>59</v>
      </c>
      <c r="I80" s="7" t="s">
        <v>125</v>
      </c>
    </row>
    <row r="81" customFormat="false" ht="22.35" hidden="false" customHeight="false" outlineLevel="0" collapsed="false">
      <c r="A81" s="7" t="s">
        <v>274</v>
      </c>
      <c r="B81" s="7" t="s">
        <v>132</v>
      </c>
      <c r="C81" s="7" t="s">
        <v>48</v>
      </c>
      <c r="D81" s="7" t="s">
        <v>56</v>
      </c>
      <c r="E81" s="8" t="s">
        <v>275</v>
      </c>
      <c r="F81" s="9" t="s">
        <v>107</v>
      </c>
      <c r="G81" s="7" t="s">
        <v>73</v>
      </c>
      <c r="H81" s="7" t="s">
        <v>74</v>
      </c>
      <c r="I81" s="7" t="s">
        <v>276</v>
      </c>
    </row>
    <row r="82" customFormat="false" ht="22.35" hidden="false" customHeight="false" outlineLevel="0" collapsed="false">
      <c r="A82" s="7" t="s">
        <v>277</v>
      </c>
      <c r="B82" s="7" t="s">
        <v>77</v>
      </c>
      <c r="C82" s="7" t="s">
        <v>55</v>
      </c>
      <c r="D82" s="7" t="s">
        <v>41</v>
      </c>
      <c r="E82" s="8" t="s">
        <v>278</v>
      </c>
      <c r="F82" s="9" t="s">
        <v>107</v>
      </c>
      <c r="G82" s="7" t="s">
        <v>44</v>
      </c>
      <c r="H82" s="7" t="s">
        <v>45</v>
      </c>
      <c r="I82" s="7" t="s">
        <v>279</v>
      </c>
    </row>
    <row r="83" customFormat="false" ht="22.35" hidden="false" customHeight="false" outlineLevel="0" collapsed="false">
      <c r="A83" s="7" t="s">
        <v>280</v>
      </c>
      <c r="B83" s="7" t="s">
        <v>77</v>
      </c>
      <c r="C83" s="7" t="s">
        <v>48</v>
      </c>
      <c r="D83" s="7" t="s">
        <v>49</v>
      </c>
      <c r="E83" s="8" t="s">
        <v>281</v>
      </c>
      <c r="F83" s="9" t="s">
        <v>51</v>
      </c>
      <c r="G83" s="7" t="s">
        <v>44</v>
      </c>
      <c r="H83" s="7" t="s">
        <v>45</v>
      </c>
      <c r="I83" s="7" t="s">
        <v>282</v>
      </c>
    </row>
    <row r="84" customFormat="false" ht="15" hidden="false" customHeight="false" outlineLevel="0" collapsed="false">
      <c r="A84" s="7" t="s">
        <v>283</v>
      </c>
      <c r="B84" s="7" t="s">
        <v>132</v>
      </c>
      <c r="C84" s="7" t="s">
        <v>55</v>
      </c>
      <c r="D84" s="7" t="s">
        <v>49</v>
      </c>
      <c r="E84" s="8" t="s">
        <v>284</v>
      </c>
      <c r="F84" s="9" t="s">
        <v>51</v>
      </c>
      <c r="G84" s="7" t="s">
        <v>73</v>
      </c>
      <c r="H84" s="7" t="s">
        <v>74</v>
      </c>
      <c r="I84" s="7" t="s">
        <v>79</v>
      </c>
    </row>
    <row r="85" customFormat="false" ht="22.35" hidden="false" customHeight="false" outlineLevel="0" collapsed="false">
      <c r="A85" s="7" t="s">
        <v>285</v>
      </c>
      <c r="B85" s="7" t="s">
        <v>67</v>
      </c>
      <c r="C85" s="7" t="s">
        <v>63</v>
      </c>
      <c r="D85" s="7" t="s">
        <v>99</v>
      </c>
      <c r="E85" s="8" t="s">
        <v>286</v>
      </c>
      <c r="F85" s="9" t="s">
        <v>107</v>
      </c>
      <c r="G85" s="7" t="s">
        <v>44</v>
      </c>
      <c r="H85" s="7" t="s">
        <v>45</v>
      </c>
      <c r="I85" s="7" t="s">
        <v>175</v>
      </c>
    </row>
    <row r="86" customFormat="false" ht="22.35" hidden="false" customHeight="false" outlineLevel="0" collapsed="false">
      <c r="A86" s="7" t="s">
        <v>287</v>
      </c>
      <c r="B86" s="7" t="s">
        <v>84</v>
      </c>
      <c r="C86" s="7" t="s">
        <v>55</v>
      </c>
      <c r="D86" s="7" t="s">
        <v>41</v>
      </c>
      <c r="E86" s="8" t="s">
        <v>288</v>
      </c>
      <c r="F86" s="9" t="s">
        <v>51</v>
      </c>
      <c r="G86" s="7" t="s">
        <v>44</v>
      </c>
      <c r="H86" s="7" t="s">
        <v>45</v>
      </c>
      <c r="I86" s="7" t="s">
        <v>289</v>
      </c>
    </row>
    <row r="87" customFormat="false" ht="22.35" hidden="false" customHeight="false" outlineLevel="0" collapsed="false">
      <c r="A87" s="7" t="s">
        <v>290</v>
      </c>
      <c r="B87" s="7" t="s">
        <v>132</v>
      </c>
      <c r="C87" s="7" t="s">
        <v>48</v>
      </c>
      <c r="D87" s="7" t="s">
        <v>91</v>
      </c>
      <c r="E87" s="8" t="s">
        <v>291</v>
      </c>
      <c r="F87" s="9" t="s">
        <v>107</v>
      </c>
      <c r="G87" s="7" t="s">
        <v>139</v>
      </c>
      <c r="H87" s="7" t="s">
        <v>74</v>
      </c>
      <c r="I87" s="7" t="s">
        <v>292</v>
      </c>
    </row>
    <row r="88" customFormat="false" ht="22.35" hidden="false" customHeight="false" outlineLevel="0" collapsed="false">
      <c r="A88" s="7" t="s">
        <v>293</v>
      </c>
      <c r="B88" s="7" t="s">
        <v>132</v>
      </c>
      <c r="C88" s="7" t="s">
        <v>48</v>
      </c>
      <c r="D88" s="7" t="s">
        <v>56</v>
      </c>
      <c r="E88" s="8" t="s">
        <v>294</v>
      </c>
      <c r="F88" s="9" t="s">
        <v>107</v>
      </c>
      <c r="G88" s="7" t="s">
        <v>139</v>
      </c>
      <c r="H88" s="7" t="s">
        <v>74</v>
      </c>
      <c r="I88" s="7" t="s">
        <v>225</v>
      </c>
    </row>
    <row r="89" customFormat="false" ht="22.35" hidden="false" customHeight="false" outlineLevel="0" collapsed="false">
      <c r="A89" s="7" t="s">
        <v>295</v>
      </c>
      <c r="B89" s="7" t="s">
        <v>77</v>
      </c>
      <c r="C89" s="7" t="s">
        <v>48</v>
      </c>
      <c r="D89" s="7" t="s">
        <v>56</v>
      </c>
      <c r="E89" s="8" t="s">
        <v>296</v>
      </c>
      <c r="F89" s="9" t="s">
        <v>43</v>
      </c>
      <c r="G89" s="7" t="s">
        <v>44</v>
      </c>
      <c r="H89" s="7" t="s">
        <v>45</v>
      </c>
      <c r="I89" s="7" t="s">
        <v>297</v>
      </c>
    </row>
    <row r="90" customFormat="false" ht="15" hidden="false" customHeight="false" outlineLevel="0" collapsed="false">
      <c r="A90" s="7" t="s">
        <v>298</v>
      </c>
      <c r="B90" s="7" t="s">
        <v>62</v>
      </c>
      <c r="C90" s="7" t="s">
        <v>55</v>
      </c>
      <c r="D90" s="7" t="s">
        <v>56</v>
      </c>
      <c r="E90" s="8" t="s">
        <v>299</v>
      </c>
      <c r="F90" s="9" t="s">
        <v>51</v>
      </c>
      <c r="G90" s="7" t="s">
        <v>58</v>
      </c>
      <c r="H90" s="7" t="s">
        <v>59</v>
      </c>
      <c r="I90" s="7" t="s">
        <v>300</v>
      </c>
    </row>
    <row r="91" customFormat="false" ht="22.35" hidden="false" customHeight="false" outlineLevel="0" collapsed="false">
      <c r="A91" s="7" t="s">
        <v>301</v>
      </c>
      <c r="B91" s="7" t="s">
        <v>62</v>
      </c>
      <c r="C91" s="7" t="s">
        <v>48</v>
      </c>
      <c r="D91" s="7" t="s">
        <v>91</v>
      </c>
      <c r="E91" s="8" t="s">
        <v>302</v>
      </c>
      <c r="F91" s="9" t="s">
        <v>43</v>
      </c>
      <c r="G91" s="7" t="s">
        <v>58</v>
      </c>
      <c r="H91" s="7" t="s">
        <v>59</v>
      </c>
      <c r="I91" s="7" t="s">
        <v>303</v>
      </c>
    </row>
    <row r="92" customFormat="false" ht="22.35" hidden="false" customHeight="false" outlineLevel="0" collapsed="false">
      <c r="A92" s="7" t="s">
        <v>304</v>
      </c>
      <c r="B92" s="7" t="s">
        <v>77</v>
      </c>
      <c r="C92" s="7" t="s">
        <v>48</v>
      </c>
      <c r="D92" s="7" t="s">
        <v>56</v>
      </c>
      <c r="E92" s="8" t="s">
        <v>305</v>
      </c>
      <c r="F92" s="9" t="s">
        <v>107</v>
      </c>
      <c r="G92" s="7" t="s">
        <v>73</v>
      </c>
      <c r="H92" s="7" t="s">
        <v>74</v>
      </c>
      <c r="I92" s="7" t="s">
        <v>306</v>
      </c>
    </row>
    <row r="93" customFormat="false" ht="22.35" hidden="false" customHeight="false" outlineLevel="0" collapsed="false">
      <c r="A93" s="7" t="s">
        <v>307</v>
      </c>
      <c r="B93" s="7" t="s">
        <v>39</v>
      </c>
      <c r="C93" s="7" t="s">
        <v>55</v>
      </c>
      <c r="D93" s="7" t="s">
        <v>49</v>
      </c>
      <c r="E93" s="8" t="s">
        <v>308</v>
      </c>
      <c r="F93" s="9" t="s">
        <v>51</v>
      </c>
      <c r="G93" s="7" t="s">
        <v>44</v>
      </c>
      <c r="H93" s="7" t="s">
        <v>45</v>
      </c>
      <c r="I93" s="7" t="s">
        <v>282</v>
      </c>
    </row>
    <row r="94" customFormat="false" ht="15" hidden="false" customHeight="false" outlineLevel="0" collapsed="false">
      <c r="A94" s="7" t="s">
        <v>309</v>
      </c>
      <c r="B94" s="7" t="s">
        <v>54</v>
      </c>
      <c r="C94" s="7" t="s">
        <v>40</v>
      </c>
      <c r="D94" s="7" t="s">
        <v>41</v>
      </c>
      <c r="E94" s="8" t="s">
        <v>310</v>
      </c>
      <c r="F94" s="9" t="s">
        <v>107</v>
      </c>
      <c r="G94" s="7" t="s">
        <v>44</v>
      </c>
      <c r="H94" s="7" t="s">
        <v>45</v>
      </c>
      <c r="I94" s="7" t="s">
        <v>311</v>
      </c>
    </row>
    <row r="95" customFormat="false" ht="22.35" hidden="false" customHeight="false" outlineLevel="0" collapsed="false">
      <c r="A95" s="7" t="s">
        <v>312</v>
      </c>
      <c r="B95" s="7" t="s">
        <v>77</v>
      </c>
      <c r="C95" s="7" t="s">
        <v>55</v>
      </c>
      <c r="D95" s="7" t="s">
        <v>91</v>
      </c>
      <c r="E95" s="8" t="s">
        <v>313</v>
      </c>
      <c r="F95" s="9" t="s">
        <v>107</v>
      </c>
      <c r="G95" s="7" t="s">
        <v>44</v>
      </c>
      <c r="H95" s="7" t="s">
        <v>45</v>
      </c>
      <c r="I95" s="7" t="s">
        <v>314</v>
      </c>
    </row>
    <row r="96" customFormat="false" ht="22.35" hidden="false" customHeight="false" outlineLevel="0" collapsed="false">
      <c r="A96" s="7" t="s">
        <v>315</v>
      </c>
      <c r="B96" s="7" t="s">
        <v>77</v>
      </c>
      <c r="C96" s="7" t="s">
        <v>40</v>
      </c>
      <c r="D96" s="7" t="s">
        <v>41</v>
      </c>
      <c r="E96" s="8" t="s">
        <v>316</v>
      </c>
      <c r="F96" s="9" t="s">
        <v>51</v>
      </c>
      <c r="G96" s="7" t="s">
        <v>73</v>
      </c>
      <c r="H96" s="7" t="s">
        <v>74</v>
      </c>
      <c r="I96" s="7" t="s">
        <v>172</v>
      </c>
    </row>
    <row r="97" customFormat="false" ht="15" hidden="false" customHeight="false" outlineLevel="0" collapsed="false">
      <c r="A97" s="7" t="s">
        <v>317</v>
      </c>
      <c r="B97" s="7" t="s">
        <v>67</v>
      </c>
      <c r="C97" s="7" t="s">
        <v>55</v>
      </c>
      <c r="D97" s="7" t="s">
        <v>49</v>
      </c>
      <c r="E97" s="8" t="s">
        <v>318</v>
      </c>
      <c r="F97" s="9" t="s">
        <v>51</v>
      </c>
      <c r="G97" s="7" t="s">
        <v>58</v>
      </c>
      <c r="H97" s="7" t="s">
        <v>59</v>
      </c>
      <c r="I97" s="7" t="s">
        <v>186</v>
      </c>
    </row>
    <row r="98" customFormat="false" ht="22.35" hidden="false" customHeight="false" outlineLevel="0" collapsed="false">
      <c r="A98" s="7" t="s">
        <v>319</v>
      </c>
      <c r="B98" s="7" t="s">
        <v>39</v>
      </c>
      <c r="C98" s="7" t="s">
        <v>48</v>
      </c>
      <c r="D98" s="7" t="s">
        <v>56</v>
      </c>
      <c r="E98" s="8" t="s">
        <v>320</v>
      </c>
      <c r="F98" s="9" t="s">
        <v>51</v>
      </c>
      <c r="G98" s="7" t="s">
        <v>44</v>
      </c>
      <c r="H98" s="7" t="s">
        <v>45</v>
      </c>
      <c r="I98" s="7" t="s">
        <v>321</v>
      </c>
    </row>
    <row r="99" customFormat="false" ht="22.35" hidden="false" customHeight="false" outlineLevel="0" collapsed="false">
      <c r="A99" s="7" t="s">
        <v>322</v>
      </c>
      <c r="B99" s="7" t="s">
        <v>95</v>
      </c>
      <c r="C99" s="7" t="s">
        <v>40</v>
      </c>
      <c r="D99" s="7" t="s">
        <v>41</v>
      </c>
      <c r="E99" s="8" t="s">
        <v>323</v>
      </c>
      <c r="F99" s="9" t="s">
        <v>43</v>
      </c>
      <c r="G99" s="7" t="s">
        <v>58</v>
      </c>
      <c r="H99" s="7" t="s">
        <v>59</v>
      </c>
      <c r="I99" s="7" t="s">
        <v>75</v>
      </c>
    </row>
    <row r="100" customFormat="false" ht="22.35" hidden="false" customHeight="false" outlineLevel="0" collapsed="false">
      <c r="A100" s="7" t="s">
        <v>324</v>
      </c>
      <c r="B100" s="7" t="s">
        <v>67</v>
      </c>
      <c r="C100" s="7" t="s">
        <v>55</v>
      </c>
      <c r="D100" s="7" t="s">
        <v>91</v>
      </c>
      <c r="E100" s="8" t="s">
        <v>325</v>
      </c>
      <c r="F100" s="9" t="s">
        <v>43</v>
      </c>
      <c r="G100" s="7" t="s">
        <v>69</v>
      </c>
      <c r="H100" s="7" t="s">
        <v>59</v>
      </c>
      <c r="I100" s="7" t="s">
        <v>326</v>
      </c>
    </row>
    <row r="101" customFormat="false" ht="15" hidden="false" customHeight="false" outlineLevel="0" collapsed="false">
      <c r="A101" s="7" t="s">
        <v>327</v>
      </c>
      <c r="B101" s="7" t="s">
        <v>77</v>
      </c>
      <c r="C101" s="7" t="s">
        <v>63</v>
      </c>
      <c r="D101" s="7" t="s">
        <v>56</v>
      </c>
      <c r="E101" s="8" t="s">
        <v>328</v>
      </c>
      <c r="F101" s="9" t="s">
        <v>43</v>
      </c>
      <c r="G101" s="7" t="s">
        <v>44</v>
      </c>
      <c r="H101" s="7" t="s">
        <v>45</v>
      </c>
      <c r="I101" s="7" t="s">
        <v>329</v>
      </c>
    </row>
    <row r="102" customFormat="false" ht="22.35" hidden="false" customHeight="false" outlineLevel="0" collapsed="false">
      <c r="A102" s="7" t="s">
        <v>330</v>
      </c>
      <c r="B102" s="7" t="s">
        <v>95</v>
      </c>
      <c r="C102" s="7" t="s">
        <v>48</v>
      </c>
      <c r="D102" s="7" t="s">
        <v>56</v>
      </c>
      <c r="E102" s="8" t="s">
        <v>331</v>
      </c>
      <c r="F102" s="9" t="s">
        <v>51</v>
      </c>
      <c r="G102" s="7" t="s">
        <v>44</v>
      </c>
      <c r="H102" s="7" t="s">
        <v>45</v>
      </c>
      <c r="I102" s="7" t="s">
        <v>332</v>
      </c>
    </row>
    <row r="103" customFormat="false" ht="22.35" hidden="false" customHeight="false" outlineLevel="0" collapsed="false">
      <c r="A103" s="7" t="s">
        <v>333</v>
      </c>
      <c r="B103" s="7" t="s">
        <v>77</v>
      </c>
      <c r="C103" s="7" t="s">
        <v>40</v>
      </c>
      <c r="D103" s="7" t="s">
        <v>91</v>
      </c>
      <c r="E103" s="8" t="s">
        <v>334</v>
      </c>
      <c r="F103" s="9" t="s">
        <v>43</v>
      </c>
      <c r="G103" s="7" t="s">
        <v>69</v>
      </c>
      <c r="H103" s="7" t="s">
        <v>59</v>
      </c>
      <c r="I103" s="7" t="s">
        <v>335</v>
      </c>
    </row>
    <row r="104" customFormat="false" ht="22.35" hidden="false" customHeight="false" outlineLevel="0" collapsed="false">
      <c r="A104" s="7" t="s">
        <v>336</v>
      </c>
      <c r="B104" s="7" t="s">
        <v>77</v>
      </c>
      <c r="C104" s="7" t="s">
        <v>55</v>
      </c>
      <c r="D104" s="7" t="s">
        <v>91</v>
      </c>
      <c r="E104" s="8" t="s">
        <v>337</v>
      </c>
      <c r="F104" s="9" t="s">
        <v>107</v>
      </c>
      <c r="G104" s="7" t="s">
        <v>139</v>
      </c>
      <c r="H104" s="7" t="s">
        <v>74</v>
      </c>
      <c r="I104" s="7" t="s">
        <v>338</v>
      </c>
    </row>
    <row r="105" customFormat="false" ht="22.35" hidden="false" customHeight="false" outlineLevel="0" collapsed="false">
      <c r="A105" s="7" t="s">
        <v>339</v>
      </c>
      <c r="B105" s="7" t="s">
        <v>84</v>
      </c>
      <c r="C105" s="7" t="s">
        <v>55</v>
      </c>
      <c r="D105" s="7" t="s">
        <v>99</v>
      </c>
      <c r="E105" s="8" t="s">
        <v>340</v>
      </c>
      <c r="F105" s="9" t="s">
        <v>43</v>
      </c>
      <c r="G105" s="7" t="s">
        <v>44</v>
      </c>
      <c r="H105" s="7" t="s">
        <v>45</v>
      </c>
      <c r="I105" s="7" t="s">
        <v>175</v>
      </c>
    </row>
    <row r="106" customFormat="false" ht="22.35" hidden="false" customHeight="false" outlineLevel="0" collapsed="false">
      <c r="A106" s="7" t="s">
        <v>341</v>
      </c>
      <c r="B106" s="7" t="s">
        <v>62</v>
      </c>
      <c r="C106" s="7" t="s">
        <v>63</v>
      </c>
      <c r="D106" s="7" t="s">
        <v>99</v>
      </c>
      <c r="E106" s="8" t="s">
        <v>342</v>
      </c>
      <c r="F106" s="9" t="s">
        <v>107</v>
      </c>
      <c r="G106" s="7" t="s">
        <v>139</v>
      </c>
      <c r="H106" s="7" t="s">
        <v>74</v>
      </c>
      <c r="I106" s="7" t="s">
        <v>122</v>
      </c>
    </row>
    <row r="107" customFormat="false" ht="22.35" hidden="false" customHeight="false" outlineLevel="0" collapsed="false">
      <c r="A107" s="7" t="s">
        <v>343</v>
      </c>
      <c r="B107" s="7" t="s">
        <v>67</v>
      </c>
      <c r="C107" s="7" t="s">
        <v>48</v>
      </c>
      <c r="D107" s="7" t="s">
        <v>56</v>
      </c>
      <c r="E107" s="8" t="s">
        <v>344</v>
      </c>
      <c r="F107" s="9" t="s">
        <v>107</v>
      </c>
      <c r="G107" s="7" t="s">
        <v>73</v>
      </c>
      <c r="H107" s="7" t="s">
        <v>74</v>
      </c>
      <c r="I107" s="7" t="s">
        <v>345</v>
      </c>
    </row>
    <row r="108" customFormat="false" ht="22.35" hidden="false" customHeight="false" outlineLevel="0" collapsed="false">
      <c r="A108" s="7" t="s">
        <v>346</v>
      </c>
      <c r="B108" s="7" t="s">
        <v>77</v>
      </c>
      <c r="C108" s="7" t="s">
        <v>63</v>
      </c>
      <c r="D108" s="7" t="s">
        <v>49</v>
      </c>
      <c r="E108" s="8" t="s">
        <v>347</v>
      </c>
      <c r="F108" s="9" t="s">
        <v>107</v>
      </c>
      <c r="G108" s="7" t="s">
        <v>44</v>
      </c>
      <c r="H108" s="7" t="s">
        <v>45</v>
      </c>
      <c r="I108" s="7" t="s">
        <v>282</v>
      </c>
    </row>
    <row r="109" customFormat="false" ht="15" hidden="false" customHeight="false" outlineLevel="0" collapsed="false">
      <c r="A109" s="7" t="s">
        <v>348</v>
      </c>
      <c r="B109" s="7" t="s">
        <v>77</v>
      </c>
      <c r="C109" s="7" t="s">
        <v>63</v>
      </c>
      <c r="D109" s="7" t="s">
        <v>56</v>
      </c>
      <c r="E109" s="8" t="s">
        <v>349</v>
      </c>
      <c r="F109" s="9" t="s">
        <v>43</v>
      </c>
      <c r="G109" s="7" t="s">
        <v>44</v>
      </c>
      <c r="H109" s="7" t="s">
        <v>45</v>
      </c>
      <c r="I109" s="7" t="s">
        <v>350</v>
      </c>
    </row>
    <row r="110" customFormat="false" ht="22.35" hidden="false" customHeight="false" outlineLevel="0" collapsed="false">
      <c r="A110" s="7" t="s">
        <v>351</v>
      </c>
      <c r="B110" s="7" t="s">
        <v>67</v>
      </c>
      <c r="C110" s="7" t="s">
        <v>55</v>
      </c>
      <c r="D110" s="7" t="s">
        <v>99</v>
      </c>
      <c r="E110" s="8" t="s">
        <v>352</v>
      </c>
      <c r="F110" s="9" t="s">
        <v>43</v>
      </c>
      <c r="G110" s="7" t="s">
        <v>44</v>
      </c>
      <c r="H110" s="7" t="s">
        <v>45</v>
      </c>
      <c r="I110" s="7" t="s">
        <v>104</v>
      </c>
    </row>
    <row r="111" customFormat="false" ht="22.35" hidden="false" customHeight="false" outlineLevel="0" collapsed="false">
      <c r="A111" s="7" t="s">
        <v>353</v>
      </c>
      <c r="B111" s="7" t="s">
        <v>62</v>
      </c>
      <c r="C111" s="7" t="s">
        <v>63</v>
      </c>
      <c r="D111" s="7" t="s">
        <v>99</v>
      </c>
      <c r="E111" s="8" t="s">
        <v>354</v>
      </c>
      <c r="F111" s="9" t="s">
        <v>107</v>
      </c>
      <c r="G111" s="7" t="s">
        <v>139</v>
      </c>
      <c r="H111" s="7" t="s">
        <v>74</v>
      </c>
      <c r="I111" s="7" t="s">
        <v>104</v>
      </c>
    </row>
    <row r="112" customFormat="false" ht="22.35" hidden="false" customHeight="false" outlineLevel="0" collapsed="false">
      <c r="A112" s="7" t="s">
        <v>355</v>
      </c>
      <c r="B112" s="7" t="s">
        <v>132</v>
      </c>
      <c r="C112" s="7" t="s">
        <v>48</v>
      </c>
      <c r="D112" s="7" t="s">
        <v>41</v>
      </c>
      <c r="E112" s="8" t="s">
        <v>356</v>
      </c>
      <c r="F112" s="9" t="s">
        <v>43</v>
      </c>
      <c r="G112" s="7" t="s">
        <v>69</v>
      </c>
      <c r="H112" s="7" t="s">
        <v>59</v>
      </c>
      <c r="I112" s="7" t="s">
        <v>279</v>
      </c>
    </row>
    <row r="113" customFormat="false" ht="22.35" hidden="false" customHeight="false" outlineLevel="0" collapsed="false">
      <c r="A113" s="7" t="s">
        <v>357</v>
      </c>
      <c r="B113" s="7" t="s">
        <v>67</v>
      </c>
      <c r="C113" s="7" t="s">
        <v>40</v>
      </c>
      <c r="D113" s="7" t="s">
        <v>56</v>
      </c>
      <c r="E113" s="8" t="s">
        <v>358</v>
      </c>
      <c r="F113" s="9" t="s">
        <v>51</v>
      </c>
      <c r="G113" s="7" t="s">
        <v>69</v>
      </c>
      <c r="H113" s="7" t="s">
        <v>59</v>
      </c>
      <c r="I113" s="7" t="s">
        <v>359</v>
      </c>
    </row>
    <row r="114" customFormat="false" ht="22.35" hidden="false" customHeight="false" outlineLevel="0" collapsed="false">
      <c r="A114" s="7" t="s">
        <v>360</v>
      </c>
      <c r="B114" s="7" t="s">
        <v>132</v>
      </c>
      <c r="C114" s="7" t="s">
        <v>55</v>
      </c>
      <c r="D114" s="7" t="s">
        <v>49</v>
      </c>
      <c r="E114" s="8" t="s">
        <v>361</v>
      </c>
      <c r="F114" s="9" t="s">
        <v>107</v>
      </c>
      <c r="G114" s="7" t="s">
        <v>73</v>
      </c>
      <c r="H114" s="7" t="s">
        <v>74</v>
      </c>
      <c r="I114" s="7" t="s">
        <v>52</v>
      </c>
    </row>
    <row r="115" customFormat="false" ht="22.35" hidden="false" customHeight="false" outlineLevel="0" collapsed="false">
      <c r="A115" s="7" t="s">
        <v>362</v>
      </c>
      <c r="B115" s="7" t="s">
        <v>77</v>
      </c>
      <c r="C115" s="7" t="s">
        <v>40</v>
      </c>
      <c r="D115" s="7" t="s">
        <v>99</v>
      </c>
      <c r="E115" s="8" t="s">
        <v>363</v>
      </c>
      <c r="F115" s="9" t="s">
        <v>43</v>
      </c>
      <c r="G115" s="7" t="s">
        <v>44</v>
      </c>
      <c r="H115" s="7" t="s">
        <v>45</v>
      </c>
      <c r="I115" s="7" t="s">
        <v>122</v>
      </c>
    </row>
    <row r="116" customFormat="false" ht="22.35" hidden="false" customHeight="false" outlineLevel="0" collapsed="false">
      <c r="A116" s="7" t="s">
        <v>364</v>
      </c>
      <c r="B116" s="7" t="s">
        <v>132</v>
      </c>
      <c r="C116" s="7" t="s">
        <v>63</v>
      </c>
      <c r="D116" s="7" t="s">
        <v>49</v>
      </c>
      <c r="E116" s="8" t="s">
        <v>365</v>
      </c>
      <c r="F116" s="9" t="s">
        <v>107</v>
      </c>
      <c r="G116" s="7" t="s">
        <v>44</v>
      </c>
      <c r="H116" s="7" t="s">
        <v>45</v>
      </c>
      <c r="I116" s="7" t="s">
        <v>186</v>
      </c>
    </row>
    <row r="117" customFormat="false" ht="15" hidden="false" customHeight="false" outlineLevel="0" collapsed="false">
      <c r="A117" s="7" t="s">
        <v>366</v>
      </c>
      <c r="B117" s="7" t="s">
        <v>84</v>
      </c>
      <c r="C117" s="7" t="s">
        <v>63</v>
      </c>
      <c r="D117" s="7" t="s">
        <v>41</v>
      </c>
      <c r="E117" s="8" t="s">
        <v>367</v>
      </c>
      <c r="F117" s="9" t="s">
        <v>43</v>
      </c>
      <c r="G117" s="7" t="s">
        <v>58</v>
      </c>
      <c r="H117" s="7" t="s">
        <v>59</v>
      </c>
      <c r="I117" s="7" t="s">
        <v>368</v>
      </c>
    </row>
    <row r="118" customFormat="false" ht="22.35" hidden="false" customHeight="false" outlineLevel="0" collapsed="false">
      <c r="A118" s="7" t="s">
        <v>369</v>
      </c>
      <c r="B118" s="7" t="s">
        <v>39</v>
      </c>
      <c r="C118" s="7" t="s">
        <v>40</v>
      </c>
      <c r="D118" s="7" t="s">
        <v>91</v>
      </c>
      <c r="E118" s="8" t="s">
        <v>370</v>
      </c>
      <c r="F118" s="9" t="s">
        <v>43</v>
      </c>
      <c r="G118" s="7" t="s">
        <v>44</v>
      </c>
      <c r="H118" s="7" t="s">
        <v>45</v>
      </c>
      <c r="I118" s="7" t="s">
        <v>371</v>
      </c>
    </row>
    <row r="119" customFormat="false" ht="15" hidden="false" customHeight="false" outlineLevel="0" collapsed="false">
      <c r="A119" s="7" t="s">
        <v>372</v>
      </c>
      <c r="B119" s="7" t="s">
        <v>132</v>
      </c>
      <c r="C119" s="7" t="s">
        <v>55</v>
      </c>
      <c r="D119" s="7" t="s">
        <v>56</v>
      </c>
      <c r="E119" s="8" t="s">
        <v>373</v>
      </c>
      <c r="F119" s="9" t="s">
        <v>107</v>
      </c>
      <c r="G119" s="7" t="s">
        <v>44</v>
      </c>
      <c r="H119" s="7" t="s">
        <v>45</v>
      </c>
      <c r="I119" s="7" t="s">
        <v>374</v>
      </c>
    </row>
    <row r="120" customFormat="false" ht="22.35" hidden="false" customHeight="false" outlineLevel="0" collapsed="false">
      <c r="A120" s="7" t="s">
        <v>375</v>
      </c>
      <c r="B120" s="7" t="s">
        <v>95</v>
      </c>
      <c r="C120" s="7" t="s">
        <v>55</v>
      </c>
      <c r="D120" s="7" t="s">
        <v>91</v>
      </c>
      <c r="E120" s="8" t="s">
        <v>376</v>
      </c>
      <c r="F120" s="9" t="s">
        <v>51</v>
      </c>
      <c r="G120" s="7" t="s">
        <v>69</v>
      </c>
      <c r="H120" s="7" t="s">
        <v>59</v>
      </c>
      <c r="I120" s="7" t="s">
        <v>326</v>
      </c>
    </row>
    <row r="121" customFormat="false" ht="15" hidden="false" customHeight="false" outlineLevel="0" collapsed="false">
      <c r="A121" s="7" t="s">
        <v>377</v>
      </c>
      <c r="B121" s="7" t="s">
        <v>62</v>
      </c>
      <c r="C121" s="7" t="s">
        <v>48</v>
      </c>
      <c r="D121" s="7" t="s">
        <v>91</v>
      </c>
      <c r="E121" s="8" t="s">
        <v>378</v>
      </c>
      <c r="F121" s="9" t="s">
        <v>51</v>
      </c>
      <c r="G121" s="7" t="s">
        <v>44</v>
      </c>
      <c r="H121" s="7" t="s">
        <v>45</v>
      </c>
      <c r="I121" s="7" t="s">
        <v>379</v>
      </c>
    </row>
    <row r="122" customFormat="false" ht="22.35" hidden="false" customHeight="false" outlineLevel="0" collapsed="false">
      <c r="A122" s="7" t="s">
        <v>380</v>
      </c>
      <c r="B122" s="7" t="s">
        <v>95</v>
      </c>
      <c r="C122" s="7" t="s">
        <v>55</v>
      </c>
      <c r="D122" s="7" t="s">
        <v>99</v>
      </c>
      <c r="E122" s="8" t="s">
        <v>381</v>
      </c>
      <c r="F122" s="9" t="s">
        <v>43</v>
      </c>
      <c r="G122" s="7" t="s">
        <v>73</v>
      </c>
      <c r="H122" s="7" t="s">
        <v>74</v>
      </c>
      <c r="I122" s="7" t="s">
        <v>108</v>
      </c>
    </row>
    <row r="123" customFormat="false" ht="22.35" hidden="false" customHeight="false" outlineLevel="0" collapsed="false">
      <c r="A123" s="7" t="s">
        <v>382</v>
      </c>
      <c r="B123" s="7" t="s">
        <v>62</v>
      </c>
      <c r="C123" s="7" t="s">
        <v>63</v>
      </c>
      <c r="D123" s="7" t="s">
        <v>49</v>
      </c>
      <c r="E123" s="8" t="s">
        <v>383</v>
      </c>
      <c r="F123" s="9" t="s">
        <v>43</v>
      </c>
      <c r="G123" s="7" t="s">
        <v>44</v>
      </c>
      <c r="H123" s="7" t="s">
        <v>45</v>
      </c>
      <c r="I123" s="7" t="s">
        <v>52</v>
      </c>
    </row>
    <row r="124" customFormat="false" ht="22.35" hidden="false" customHeight="false" outlineLevel="0" collapsed="false">
      <c r="A124" s="7" t="s">
        <v>384</v>
      </c>
      <c r="B124" s="7" t="s">
        <v>132</v>
      </c>
      <c r="C124" s="7" t="s">
        <v>48</v>
      </c>
      <c r="D124" s="7" t="s">
        <v>49</v>
      </c>
      <c r="E124" s="8" t="s">
        <v>385</v>
      </c>
      <c r="F124" s="9" t="s">
        <v>43</v>
      </c>
      <c r="G124" s="7" t="s">
        <v>58</v>
      </c>
      <c r="H124" s="7" t="s">
        <v>59</v>
      </c>
      <c r="I124" s="7" t="s">
        <v>125</v>
      </c>
    </row>
    <row r="125" customFormat="false" ht="22.35" hidden="false" customHeight="false" outlineLevel="0" collapsed="false">
      <c r="A125" s="7" t="s">
        <v>386</v>
      </c>
      <c r="B125" s="7" t="s">
        <v>95</v>
      </c>
      <c r="C125" s="7" t="s">
        <v>55</v>
      </c>
      <c r="D125" s="7" t="s">
        <v>41</v>
      </c>
      <c r="E125" s="8" t="s">
        <v>387</v>
      </c>
      <c r="F125" s="9" t="s">
        <v>43</v>
      </c>
      <c r="G125" s="7" t="s">
        <v>58</v>
      </c>
      <c r="H125" s="7" t="s">
        <v>59</v>
      </c>
      <c r="I125" s="7" t="s">
        <v>289</v>
      </c>
    </row>
    <row r="126" customFormat="false" ht="22.35" hidden="false" customHeight="false" outlineLevel="0" collapsed="false">
      <c r="A126" s="7" t="s">
        <v>388</v>
      </c>
      <c r="B126" s="7" t="s">
        <v>77</v>
      </c>
      <c r="C126" s="7" t="s">
        <v>63</v>
      </c>
      <c r="D126" s="7" t="s">
        <v>49</v>
      </c>
      <c r="E126" s="8" t="s">
        <v>389</v>
      </c>
      <c r="F126" s="9" t="s">
        <v>107</v>
      </c>
      <c r="G126" s="7" t="s">
        <v>73</v>
      </c>
      <c r="H126" s="7" t="s">
        <v>74</v>
      </c>
      <c r="I126" s="7" t="s">
        <v>186</v>
      </c>
    </row>
    <row r="127" customFormat="false" ht="22.35" hidden="false" customHeight="false" outlineLevel="0" collapsed="false">
      <c r="A127" s="7" t="s">
        <v>390</v>
      </c>
      <c r="B127" s="7" t="s">
        <v>54</v>
      </c>
      <c r="C127" s="7" t="s">
        <v>48</v>
      </c>
      <c r="D127" s="7" t="s">
        <v>91</v>
      </c>
      <c r="E127" s="8" t="s">
        <v>391</v>
      </c>
      <c r="F127" s="9" t="s">
        <v>43</v>
      </c>
      <c r="G127" s="7" t="s">
        <v>69</v>
      </c>
      <c r="H127" s="7" t="s">
        <v>59</v>
      </c>
      <c r="I127" s="7" t="s">
        <v>392</v>
      </c>
    </row>
    <row r="128" customFormat="false" ht="22.35" hidden="false" customHeight="false" outlineLevel="0" collapsed="false">
      <c r="A128" s="7" t="s">
        <v>393</v>
      </c>
      <c r="B128" s="7" t="s">
        <v>39</v>
      </c>
      <c r="C128" s="7" t="s">
        <v>40</v>
      </c>
      <c r="D128" s="7" t="s">
        <v>99</v>
      </c>
      <c r="E128" s="8" t="s">
        <v>394</v>
      </c>
      <c r="F128" s="9" t="s">
        <v>107</v>
      </c>
      <c r="G128" s="7" t="s">
        <v>44</v>
      </c>
      <c r="H128" s="7" t="s">
        <v>45</v>
      </c>
      <c r="I128" s="7" t="s">
        <v>101</v>
      </c>
    </row>
    <row r="129" customFormat="false" ht="22.35" hidden="false" customHeight="false" outlineLevel="0" collapsed="false">
      <c r="A129" s="7" t="s">
        <v>395</v>
      </c>
      <c r="B129" s="7" t="s">
        <v>39</v>
      </c>
      <c r="C129" s="7" t="s">
        <v>40</v>
      </c>
      <c r="D129" s="7" t="s">
        <v>56</v>
      </c>
      <c r="E129" s="8" t="s">
        <v>396</v>
      </c>
      <c r="F129" s="9" t="s">
        <v>51</v>
      </c>
      <c r="G129" s="7" t="s">
        <v>58</v>
      </c>
      <c r="H129" s="7" t="s">
        <v>59</v>
      </c>
      <c r="I129" s="7" t="s">
        <v>397</v>
      </c>
    </row>
    <row r="130" customFormat="false" ht="22.35" hidden="false" customHeight="false" outlineLevel="0" collapsed="false">
      <c r="A130" s="7" t="s">
        <v>398</v>
      </c>
      <c r="B130" s="7" t="s">
        <v>54</v>
      </c>
      <c r="C130" s="7" t="s">
        <v>55</v>
      </c>
      <c r="D130" s="7" t="s">
        <v>41</v>
      </c>
      <c r="E130" s="8" t="s">
        <v>399</v>
      </c>
      <c r="F130" s="9" t="s">
        <v>43</v>
      </c>
      <c r="G130" s="7" t="s">
        <v>44</v>
      </c>
      <c r="H130" s="7" t="s">
        <v>45</v>
      </c>
      <c r="I130" s="7" t="s">
        <v>205</v>
      </c>
    </row>
    <row r="131" customFormat="false" ht="22.35" hidden="false" customHeight="false" outlineLevel="0" collapsed="false">
      <c r="A131" s="7" t="s">
        <v>400</v>
      </c>
      <c r="B131" s="7" t="s">
        <v>84</v>
      </c>
      <c r="C131" s="7" t="s">
        <v>55</v>
      </c>
      <c r="D131" s="7" t="s">
        <v>99</v>
      </c>
      <c r="E131" s="8" t="s">
        <v>401</v>
      </c>
      <c r="F131" s="9" t="s">
        <v>51</v>
      </c>
      <c r="G131" s="7" t="s">
        <v>44</v>
      </c>
      <c r="H131" s="7" t="s">
        <v>45</v>
      </c>
      <c r="I131" s="7" t="s">
        <v>101</v>
      </c>
    </row>
    <row r="132" customFormat="false" ht="15" hidden="false" customHeight="false" outlineLevel="0" collapsed="false">
      <c r="A132" s="7" t="s">
        <v>402</v>
      </c>
      <c r="B132" s="7" t="s">
        <v>67</v>
      </c>
      <c r="C132" s="7" t="s">
        <v>63</v>
      </c>
      <c r="D132" s="7" t="s">
        <v>41</v>
      </c>
      <c r="E132" s="8" t="s">
        <v>403</v>
      </c>
      <c r="F132" s="9" t="s">
        <v>51</v>
      </c>
      <c r="G132" s="7" t="s">
        <v>44</v>
      </c>
      <c r="H132" s="7" t="s">
        <v>45</v>
      </c>
      <c r="I132" s="7" t="s">
        <v>86</v>
      </c>
    </row>
    <row r="133" customFormat="false" ht="15" hidden="false" customHeight="false" outlineLevel="0" collapsed="false">
      <c r="A133" s="7" t="s">
        <v>404</v>
      </c>
      <c r="B133" s="7" t="s">
        <v>95</v>
      </c>
      <c r="C133" s="7" t="s">
        <v>55</v>
      </c>
      <c r="D133" s="7" t="s">
        <v>91</v>
      </c>
      <c r="E133" s="8" t="s">
        <v>405</v>
      </c>
      <c r="F133" s="9" t="s">
        <v>107</v>
      </c>
      <c r="G133" s="7" t="s">
        <v>44</v>
      </c>
      <c r="H133" s="7" t="s">
        <v>45</v>
      </c>
      <c r="I133" s="7" t="s">
        <v>406</v>
      </c>
    </row>
    <row r="134" customFormat="false" ht="15" hidden="false" customHeight="false" outlineLevel="0" collapsed="false">
      <c r="A134" s="7" t="s">
        <v>407</v>
      </c>
      <c r="B134" s="7" t="s">
        <v>84</v>
      </c>
      <c r="C134" s="7" t="s">
        <v>55</v>
      </c>
      <c r="D134" s="7" t="s">
        <v>56</v>
      </c>
      <c r="E134" s="8" t="s">
        <v>408</v>
      </c>
      <c r="F134" s="9" t="s">
        <v>51</v>
      </c>
      <c r="G134" s="7" t="s">
        <v>58</v>
      </c>
      <c r="H134" s="7" t="s">
        <v>59</v>
      </c>
      <c r="I134" s="7" t="s">
        <v>409</v>
      </c>
    </row>
    <row r="135" customFormat="false" ht="22.35" hidden="false" customHeight="false" outlineLevel="0" collapsed="false">
      <c r="A135" s="7" t="s">
        <v>410</v>
      </c>
      <c r="B135" s="7" t="s">
        <v>77</v>
      </c>
      <c r="C135" s="7" t="s">
        <v>40</v>
      </c>
      <c r="D135" s="7" t="s">
        <v>99</v>
      </c>
      <c r="E135" s="8" t="s">
        <v>411</v>
      </c>
      <c r="F135" s="9" t="s">
        <v>43</v>
      </c>
      <c r="G135" s="7" t="s">
        <v>44</v>
      </c>
      <c r="H135" s="7" t="s">
        <v>45</v>
      </c>
      <c r="I135" s="7" t="s">
        <v>175</v>
      </c>
    </row>
    <row r="136" customFormat="false" ht="22.35" hidden="false" customHeight="false" outlineLevel="0" collapsed="false">
      <c r="A136" s="7" t="s">
        <v>412</v>
      </c>
      <c r="B136" s="7" t="s">
        <v>67</v>
      </c>
      <c r="C136" s="7" t="s">
        <v>63</v>
      </c>
      <c r="D136" s="7" t="s">
        <v>49</v>
      </c>
      <c r="E136" s="8" t="s">
        <v>413</v>
      </c>
      <c r="F136" s="9" t="s">
        <v>43</v>
      </c>
      <c r="G136" s="7" t="s">
        <v>58</v>
      </c>
      <c r="H136" s="7" t="s">
        <v>59</v>
      </c>
      <c r="I136" s="7" t="s">
        <v>282</v>
      </c>
    </row>
    <row r="137" customFormat="false" ht="22.35" hidden="false" customHeight="false" outlineLevel="0" collapsed="false">
      <c r="A137" s="7" t="s">
        <v>414</v>
      </c>
      <c r="B137" s="7" t="s">
        <v>54</v>
      </c>
      <c r="C137" s="7" t="s">
        <v>55</v>
      </c>
      <c r="D137" s="7" t="s">
        <v>41</v>
      </c>
      <c r="E137" s="8" t="s">
        <v>415</v>
      </c>
      <c r="F137" s="9" t="s">
        <v>43</v>
      </c>
      <c r="G137" s="7" t="s">
        <v>58</v>
      </c>
      <c r="H137" s="7" t="s">
        <v>59</v>
      </c>
      <c r="I137" s="7" t="s">
        <v>416</v>
      </c>
    </row>
    <row r="138" customFormat="false" ht="22.35" hidden="false" customHeight="false" outlineLevel="0" collapsed="false">
      <c r="A138" s="7" t="s">
        <v>417</v>
      </c>
      <c r="B138" s="7" t="s">
        <v>95</v>
      </c>
      <c r="C138" s="7" t="s">
        <v>48</v>
      </c>
      <c r="D138" s="7" t="s">
        <v>49</v>
      </c>
      <c r="E138" s="8" t="s">
        <v>418</v>
      </c>
      <c r="F138" s="9" t="s">
        <v>43</v>
      </c>
      <c r="G138" s="7" t="s">
        <v>58</v>
      </c>
      <c r="H138" s="7" t="s">
        <v>59</v>
      </c>
      <c r="I138" s="7" t="s">
        <v>125</v>
      </c>
    </row>
    <row r="139" customFormat="false" ht="22.35" hidden="false" customHeight="false" outlineLevel="0" collapsed="false">
      <c r="A139" s="7" t="s">
        <v>419</v>
      </c>
      <c r="B139" s="7" t="s">
        <v>77</v>
      </c>
      <c r="C139" s="7" t="s">
        <v>40</v>
      </c>
      <c r="D139" s="7" t="s">
        <v>91</v>
      </c>
      <c r="E139" s="8" t="s">
        <v>420</v>
      </c>
      <c r="F139" s="9" t="s">
        <v>107</v>
      </c>
      <c r="G139" s="7" t="s">
        <v>44</v>
      </c>
      <c r="H139" s="7" t="s">
        <v>45</v>
      </c>
      <c r="I139" s="7" t="s">
        <v>186</v>
      </c>
    </row>
    <row r="140" customFormat="false" ht="22.35" hidden="false" customHeight="false" outlineLevel="0" collapsed="false">
      <c r="A140" s="7" t="s">
        <v>421</v>
      </c>
      <c r="B140" s="7" t="s">
        <v>62</v>
      </c>
      <c r="C140" s="7" t="s">
        <v>63</v>
      </c>
      <c r="D140" s="7" t="s">
        <v>49</v>
      </c>
      <c r="E140" s="8" t="s">
        <v>422</v>
      </c>
      <c r="F140" s="9" t="s">
        <v>51</v>
      </c>
      <c r="G140" s="7" t="s">
        <v>44</v>
      </c>
      <c r="H140" s="7" t="s">
        <v>45</v>
      </c>
      <c r="I140" s="7" t="s">
        <v>186</v>
      </c>
    </row>
    <row r="141" customFormat="false" ht="22.35" hidden="false" customHeight="false" outlineLevel="0" collapsed="false">
      <c r="A141" s="7" t="s">
        <v>423</v>
      </c>
      <c r="B141" s="7" t="s">
        <v>54</v>
      </c>
      <c r="C141" s="7" t="s">
        <v>63</v>
      </c>
      <c r="D141" s="7" t="s">
        <v>56</v>
      </c>
      <c r="E141" s="8" t="s">
        <v>424</v>
      </c>
      <c r="F141" s="9" t="s">
        <v>43</v>
      </c>
      <c r="G141" s="7" t="s">
        <v>44</v>
      </c>
      <c r="H141" s="7" t="s">
        <v>45</v>
      </c>
      <c r="I141" s="7" t="s">
        <v>425</v>
      </c>
    </row>
    <row r="142" customFormat="false" ht="22.35" hidden="false" customHeight="false" outlineLevel="0" collapsed="false">
      <c r="A142" s="7" t="s">
        <v>426</v>
      </c>
      <c r="B142" s="7" t="s">
        <v>84</v>
      </c>
      <c r="C142" s="7" t="s">
        <v>48</v>
      </c>
      <c r="D142" s="7" t="s">
        <v>91</v>
      </c>
      <c r="E142" s="8" t="s">
        <v>427</v>
      </c>
      <c r="F142" s="9" t="s">
        <v>43</v>
      </c>
      <c r="G142" s="7" t="s">
        <v>58</v>
      </c>
      <c r="H142" s="7" t="s">
        <v>59</v>
      </c>
      <c r="I142" s="7" t="s">
        <v>428</v>
      </c>
    </row>
    <row r="143" customFormat="false" ht="22.35" hidden="false" customHeight="false" outlineLevel="0" collapsed="false">
      <c r="A143" s="7" t="s">
        <v>429</v>
      </c>
      <c r="B143" s="7" t="s">
        <v>67</v>
      </c>
      <c r="C143" s="7" t="s">
        <v>55</v>
      </c>
      <c r="D143" s="7" t="s">
        <v>99</v>
      </c>
      <c r="E143" s="8" t="s">
        <v>430</v>
      </c>
      <c r="F143" s="9" t="s">
        <v>107</v>
      </c>
      <c r="G143" s="7" t="s">
        <v>139</v>
      </c>
      <c r="H143" s="7" t="s">
        <v>74</v>
      </c>
      <c r="I143" s="7" t="s">
        <v>175</v>
      </c>
    </row>
    <row r="144" customFormat="false" ht="22.35" hidden="false" customHeight="false" outlineLevel="0" collapsed="false">
      <c r="A144" s="7" t="s">
        <v>431</v>
      </c>
      <c r="B144" s="7" t="s">
        <v>95</v>
      </c>
      <c r="C144" s="7" t="s">
        <v>63</v>
      </c>
      <c r="D144" s="7" t="s">
        <v>41</v>
      </c>
      <c r="E144" s="8" t="s">
        <v>432</v>
      </c>
      <c r="F144" s="9" t="s">
        <v>43</v>
      </c>
      <c r="G144" s="7" t="s">
        <v>58</v>
      </c>
      <c r="H144" s="7" t="s">
        <v>59</v>
      </c>
      <c r="I144" s="7" t="s">
        <v>172</v>
      </c>
    </row>
    <row r="145" customFormat="false" ht="22.35" hidden="false" customHeight="false" outlineLevel="0" collapsed="false">
      <c r="A145" s="7" t="s">
        <v>433</v>
      </c>
      <c r="B145" s="7" t="s">
        <v>95</v>
      </c>
      <c r="C145" s="7" t="s">
        <v>48</v>
      </c>
      <c r="D145" s="7" t="s">
        <v>99</v>
      </c>
      <c r="E145" s="8" t="s">
        <v>434</v>
      </c>
      <c r="F145" s="9" t="s">
        <v>43</v>
      </c>
      <c r="G145" s="7" t="s">
        <v>44</v>
      </c>
      <c r="H145" s="7" t="s">
        <v>45</v>
      </c>
      <c r="I145" s="7" t="s">
        <v>122</v>
      </c>
    </row>
    <row r="146" customFormat="false" ht="22.35" hidden="false" customHeight="false" outlineLevel="0" collapsed="false">
      <c r="A146" s="7" t="s">
        <v>435</v>
      </c>
      <c r="B146" s="7" t="s">
        <v>132</v>
      </c>
      <c r="C146" s="7" t="s">
        <v>48</v>
      </c>
      <c r="D146" s="7" t="s">
        <v>49</v>
      </c>
      <c r="E146" s="8" t="s">
        <v>436</v>
      </c>
      <c r="F146" s="9" t="s">
        <v>51</v>
      </c>
      <c r="G146" s="7" t="s">
        <v>73</v>
      </c>
      <c r="H146" s="7" t="s">
        <v>74</v>
      </c>
      <c r="I146" s="7" t="s">
        <v>52</v>
      </c>
    </row>
    <row r="147" customFormat="false" ht="15" hidden="false" customHeight="false" outlineLevel="0" collapsed="false">
      <c r="A147" s="7" t="s">
        <v>437</v>
      </c>
      <c r="B147" s="7" t="s">
        <v>39</v>
      </c>
      <c r="C147" s="7" t="s">
        <v>55</v>
      </c>
      <c r="D147" s="7" t="s">
        <v>41</v>
      </c>
      <c r="E147" s="8" t="s">
        <v>438</v>
      </c>
      <c r="F147" s="9" t="s">
        <v>51</v>
      </c>
      <c r="G147" s="7" t="s">
        <v>58</v>
      </c>
      <c r="H147" s="7" t="s">
        <v>59</v>
      </c>
      <c r="I147" s="7" t="s">
        <v>114</v>
      </c>
    </row>
    <row r="148" customFormat="false" ht="22.35" hidden="false" customHeight="false" outlineLevel="0" collapsed="false">
      <c r="A148" s="7" t="s">
        <v>439</v>
      </c>
      <c r="B148" s="7" t="s">
        <v>54</v>
      </c>
      <c r="C148" s="7" t="s">
        <v>48</v>
      </c>
      <c r="D148" s="7" t="s">
        <v>41</v>
      </c>
      <c r="E148" s="8" t="s">
        <v>440</v>
      </c>
      <c r="F148" s="9" t="s">
        <v>51</v>
      </c>
      <c r="G148" s="7" t="s">
        <v>44</v>
      </c>
      <c r="H148" s="7" t="s">
        <v>45</v>
      </c>
      <c r="I148" s="7" t="s">
        <v>441</v>
      </c>
    </row>
    <row r="149" customFormat="false" ht="22.35" hidden="false" customHeight="false" outlineLevel="0" collapsed="false">
      <c r="A149" s="7" t="s">
        <v>442</v>
      </c>
      <c r="B149" s="7" t="s">
        <v>132</v>
      </c>
      <c r="C149" s="7" t="s">
        <v>63</v>
      </c>
      <c r="D149" s="7" t="s">
        <v>99</v>
      </c>
      <c r="E149" s="8" t="s">
        <v>443</v>
      </c>
      <c r="F149" s="9" t="s">
        <v>43</v>
      </c>
      <c r="G149" s="7" t="s">
        <v>44</v>
      </c>
      <c r="H149" s="7" t="s">
        <v>45</v>
      </c>
      <c r="I149" s="7" t="s">
        <v>122</v>
      </c>
    </row>
    <row r="150" customFormat="false" ht="22.35" hidden="false" customHeight="false" outlineLevel="0" collapsed="false">
      <c r="A150" s="7" t="s">
        <v>444</v>
      </c>
      <c r="B150" s="7" t="s">
        <v>39</v>
      </c>
      <c r="C150" s="7" t="s">
        <v>40</v>
      </c>
      <c r="D150" s="7" t="s">
        <v>56</v>
      </c>
      <c r="E150" s="8" t="s">
        <v>445</v>
      </c>
      <c r="F150" s="9" t="s">
        <v>43</v>
      </c>
      <c r="G150" s="7" t="s">
        <v>69</v>
      </c>
      <c r="H150" s="7" t="s">
        <v>59</v>
      </c>
      <c r="I150" s="7" t="s">
        <v>446</v>
      </c>
    </row>
    <row r="151" customFormat="false" ht="15" hidden="false" customHeight="false" outlineLevel="0" collapsed="false">
      <c r="A151" s="7" t="s">
        <v>447</v>
      </c>
      <c r="B151" s="7" t="s">
        <v>132</v>
      </c>
      <c r="C151" s="7" t="s">
        <v>63</v>
      </c>
      <c r="D151" s="7" t="s">
        <v>56</v>
      </c>
      <c r="E151" s="8" t="s">
        <v>448</v>
      </c>
      <c r="F151" s="9" t="s">
        <v>43</v>
      </c>
      <c r="G151" s="7" t="s">
        <v>58</v>
      </c>
      <c r="H151" s="7" t="s">
        <v>59</v>
      </c>
      <c r="I151" s="7" t="s">
        <v>449</v>
      </c>
    </row>
    <row r="152" customFormat="false" ht="15" hidden="false" customHeight="false" outlineLevel="0" collapsed="false">
      <c r="A152" s="7" t="s">
        <v>450</v>
      </c>
      <c r="B152" s="7" t="s">
        <v>84</v>
      </c>
      <c r="C152" s="7" t="s">
        <v>63</v>
      </c>
      <c r="D152" s="7" t="s">
        <v>49</v>
      </c>
      <c r="E152" s="8" t="s">
        <v>451</v>
      </c>
      <c r="F152" s="9" t="s">
        <v>43</v>
      </c>
      <c r="G152" s="7" t="s">
        <v>44</v>
      </c>
      <c r="H152" s="7" t="s">
        <v>45</v>
      </c>
      <c r="I152" s="7" t="s">
        <v>282</v>
      </c>
    </row>
    <row r="153" customFormat="false" ht="15" hidden="false" customHeight="false" outlineLevel="0" collapsed="false">
      <c r="A153" s="7" t="s">
        <v>452</v>
      </c>
      <c r="B153" s="7" t="s">
        <v>132</v>
      </c>
      <c r="C153" s="7" t="s">
        <v>55</v>
      </c>
      <c r="D153" s="7" t="s">
        <v>56</v>
      </c>
      <c r="E153" s="8" t="s">
        <v>453</v>
      </c>
      <c r="F153" s="9" t="s">
        <v>51</v>
      </c>
      <c r="G153" s="7" t="s">
        <v>58</v>
      </c>
      <c r="H153" s="7" t="s">
        <v>59</v>
      </c>
      <c r="I153" s="7" t="s">
        <v>454</v>
      </c>
    </row>
    <row r="154" customFormat="false" ht="22.35" hidden="false" customHeight="false" outlineLevel="0" collapsed="false">
      <c r="A154" s="7" t="s">
        <v>455</v>
      </c>
      <c r="B154" s="7" t="s">
        <v>54</v>
      </c>
      <c r="C154" s="7" t="s">
        <v>48</v>
      </c>
      <c r="D154" s="7" t="s">
        <v>49</v>
      </c>
      <c r="E154" s="8" t="s">
        <v>456</v>
      </c>
      <c r="F154" s="9" t="s">
        <v>51</v>
      </c>
      <c r="G154" s="7" t="s">
        <v>44</v>
      </c>
      <c r="H154" s="7" t="s">
        <v>45</v>
      </c>
      <c r="I154" s="7" t="s">
        <v>136</v>
      </c>
    </row>
    <row r="155" customFormat="false" ht="22.35" hidden="false" customHeight="false" outlineLevel="0" collapsed="false">
      <c r="A155" s="7" t="s">
        <v>457</v>
      </c>
      <c r="B155" s="7" t="s">
        <v>62</v>
      </c>
      <c r="C155" s="7" t="s">
        <v>40</v>
      </c>
      <c r="D155" s="7" t="s">
        <v>49</v>
      </c>
      <c r="E155" s="8" t="s">
        <v>458</v>
      </c>
      <c r="F155" s="9" t="s">
        <v>51</v>
      </c>
      <c r="G155" s="7" t="s">
        <v>73</v>
      </c>
      <c r="H155" s="7" t="s">
        <v>74</v>
      </c>
      <c r="I155" s="7" t="s">
        <v>282</v>
      </c>
    </row>
    <row r="156" customFormat="false" ht="15" hidden="false" customHeight="false" outlineLevel="0" collapsed="false">
      <c r="A156" s="7" t="s">
        <v>459</v>
      </c>
      <c r="B156" s="7" t="s">
        <v>77</v>
      </c>
      <c r="C156" s="7" t="s">
        <v>63</v>
      </c>
      <c r="D156" s="7" t="s">
        <v>91</v>
      </c>
      <c r="E156" s="8" t="s">
        <v>460</v>
      </c>
      <c r="F156" s="9" t="s">
        <v>107</v>
      </c>
      <c r="G156" s="7" t="s">
        <v>139</v>
      </c>
      <c r="H156" s="7" t="s">
        <v>74</v>
      </c>
      <c r="I156" s="7" t="s">
        <v>461</v>
      </c>
    </row>
    <row r="157" customFormat="false" ht="22.35" hidden="false" customHeight="false" outlineLevel="0" collapsed="false">
      <c r="A157" s="7" t="s">
        <v>462</v>
      </c>
      <c r="B157" s="7" t="s">
        <v>67</v>
      </c>
      <c r="C157" s="7" t="s">
        <v>40</v>
      </c>
      <c r="D157" s="7" t="s">
        <v>56</v>
      </c>
      <c r="E157" s="8" t="s">
        <v>463</v>
      </c>
      <c r="F157" s="9" t="s">
        <v>107</v>
      </c>
      <c r="G157" s="7" t="s">
        <v>44</v>
      </c>
      <c r="H157" s="7" t="s">
        <v>45</v>
      </c>
      <c r="I157" s="7" t="s">
        <v>464</v>
      </c>
    </row>
    <row r="158" customFormat="false" ht="22.35" hidden="false" customHeight="false" outlineLevel="0" collapsed="false">
      <c r="A158" s="7" t="s">
        <v>465</v>
      </c>
      <c r="B158" s="7" t="s">
        <v>95</v>
      </c>
      <c r="C158" s="7" t="s">
        <v>55</v>
      </c>
      <c r="D158" s="7" t="s">
        <v>91</v>
      </c>
      <c r="E158" s="8" t="s">
        <v>466</v>
      </c>
      <c r="F158" s="9" t="s">
        <v>51</v>
      </c>
      <c r="G158" s="7" t="s">
        <v>44</v>
      </c>
      <c r="H158" s="7" t="s">
        <v>45</v>
      </c>
      <c r="I158" s="7" t="s">
        <v>467</v>
      </c>
    </row>
    <row r="159" customFormat="false" ht="15" hidden="false" customHeight="false" outlineLevel="0" collapsed="false">
      <c r="A159" s="7" t="s">
        <v>468</v>
      </c>
      <c r="B159" s="7" t="s">
        <v>95</v>
      </c>
      <c r="C159" s="7" t="s">
        <v>40</v>
      </c>
      <c r="D159" s="7" t="s">
        <v>49</v>
      </c>
      <c r="E159" s="8" t="s">
        <v>469</v>
      </c>
      <c r="F159" s="9" t="s">
        <v>107</v>
      </c>
      <c r="G159" s="7" t="s">
        <v>73</v>
      </c>
      <c r="H159" s="7" t="s">
        <v>74</v>
      </c>
      <c r="I159" s="7" t="s">
        <v>52</v>
      </c>
    </row>
    <row r="160" customFormat="false" ht="22.35" hidden="false" customHeight="false" outlineLevel="0" collapsed="false">
      <c r="A160" s="7" t="s">
        <v>470</v>
      </c>
      <c r="B160" s="7" t="s">
        <v>39</v>
      </c>
      <c r="C160" s="7" t="s">
        <v>63</v>
      </c>
      <c r="D160" s="7" t="s">
        <v>91</v>
      </c>
      <c r="E160" s="8" t="s">
        <v>471</v>
      </c>
      <c r="F160" s="9" t="s">
        <v>43</v>
      </c>
      <c r="G160" s="7" t="s">
        <v>44</v>
      </c>
      <c r="H160" s="7" t="s">
        <v>45</v>
      </c>
      <c r="I160" s="7" t="s">
        <v>261</v>
      </c>
    </row>
    <row r="161" customFormat="false" ht="22.35" hidden="false" customHeight="false" outlineLevel="0" collapsed="false">
      <c r="A161" s="7" t="s">
        <v>472</v>
      </c>
      <c r="B161" s="7" t="s">
        <v>39</v>
      </c>
      <c r="C161" s="7" t="s">
        <v>48</v>
      </c>
      <c r="D161" s="7" t="s">
        <v>49</v>
      </c>
      <c r="E161" s="8" t="s">
        <v>473</v>
      </c>
      <c r="F161" s="9" t="s">
        <v>107</v>
      </c>
      <c r="G161" s="7" t="s">
        <v>73</v>
      </c>
      <c r="H161" s="7" t="s">
        <v>74</v>
      </c>
      <c r="I161" s="7" t="s">
        <v>52</v>
      </c>
    </row>
    <row r="162" customFormat="false" ht="22.35" hidden="false" customHeight="false" outlineLevel="0" collapsed="false">
      <c r="A162" s="7" t="s">
        <v>474</v>
      </c>
      <c r="B162" s="7" t="s">
        <v>67</v>
      </c>
      <c r="C162" s="7" t="s">
        <v>48</v>
      </c>
      <c r="D162" s="7" t="s">
        <v>99</v>
      </c>
      <c r="E162" s="8" t="s">
        <v>475</v>
      </c>
      <c r="F162" s="9" t="s">
        <v>51</v>
      </c>
      <c r="G162" s="7" t="s">
        <v>69</v>
      </c>
      <c r="H162" s="7" t="s">
        <v>59</v>
      </c>
      <c r="I162" s="7" t="s">
        <v>175</v>
      </c>
    </row>
    <row r="163" customFormat="false" ht="22.35" hidden="false" customHeight="false" outlineLevel="0" collapsed="false">
      <c r="A163" s="7" t="s">
        <v>476</v>
      </c>
      <c r="B163" s="7" t="s">
        <v>95</v>
      </c>
      <c r="C163" s="7" t="s">
        <v>40</v>
      </c>
      <c r="D163" s="7" t="s">
        <v>56</v>
      </c>
      <c r="E163" s="8" t="s">
        <v>477</v>
      </c>
      <c r="F163" s="9" t="s">
        <v>51</v>
      </c>
      <c r="G163" s="7" t="s">
        <v>44</v>
      </c>
      <c r="H163" s="7" t="s">
        <v>45</v>
      </c>
      <c r="I163" s="7" t="s">
        <v>478</v>
      </c>
    </row>
    <row r="164" customFormat="false" ht="22.35" hidden="false" customHeight="false" outlineLevel="0" collapsed="false">
      <c r="A164" s="7" t="s">
        <v>479</v>
      </c>
      <c r="B164" s="7" t="s">
        <v>77</v>
      </c>
      <c r="C164" s="7" t="s">
        <v>55</v>
      </c>
      <c r="D164" s="7" t="s">
        <v>41</v>
      </c>
      <c r="E164" s="8" t="s">
        <v>480</v>
      </c>
      <c r="F164" s="9" t="s">
        <v>51</v>
      </c>
      <c r="G164" s="7" t="s">
        <v>58</v>
      </c>
      <c r="H164" s="7" t="s">
        <v>59</v>
      </c>
      <c r="I164" s="7" t="s">
        <v>416</v>
      </c>
    </row>
    <row r="165" customFormat="false" ht="22.35" hidden="false" customHeight="false" outlineLevel="0" collapsed="false">
      <c r="A165" s="7" t="s">
        <v>481</v>
      </c>
      <c r="B165" s="7" t="s">
        <v>84</v>
      </c>
      <c r="C165" s="7" t="s">
        <v>63</v>
      </c>
      <c r="D165" s="7" t="s">
        <v>99</v>
      </c>
      <c r="E165" s="8" t="s">
        <v>482</v>
      </c>
      <c r="F165" s="9" t="s">
        <v>43</v>
      </c>
      <c r="G165" s="7" t="s">
        <v>44</v>
      </c>
      <c r="H165" s="7" t="s">
        <v>45</v>
      </c>
      <c r="I165" s="7" t="s">
        <v>108</v>
      </c>
    </row>
    <row r="166" customFormat="false" ht="22.35" hidden="false" customHeight="false" outlineLevel="0" collapsed="false">
      <c r="A166" s="7" t="s">
        <v>483</v>
      </c>
      <c r="B166" s="7" t="s">
        <v>54</v>
      </c>
      <c r="C166" s="7" t="s">
        <v>63</v>
      </c>
      <c r="D166" s="7" t="s">
        <v>41</v>
      </c>
      <c r="E166" s="8" t="s">
        <v>484</v>
      </c>
      <c r="F166" s="9" t="s">
        <v>51</v>
      </c>
      <c r="G166" s="7" t="s">
        <v>58</v>
      </c>
      <c r="H166" s="7" t="s">
        <v>59</v>
      </c>
      <c r="I166" s="7" t="s">
        <v>279</v>
      </c>
    </row>
    <row r="167" customFormat="false" ht="22.35" hidden="false" customHeight="false" outlineLevel="0" collapsed="false">
      <c r="A167" s="7" t="s">
        <v>485</v>
      </c>
      <c r="B167" s="7" t="s">
        <v>54</v>
      </c>
      <c r="C167" s="7" t="s">
        <v>63</v>
      </c>
      <c r="D167" s="7" t="s">
        <v>56</v>
      </c>
      <c r="E167" s="8" t="s">
        <v>486</v>
      </c>
      <c r="F167" s="9" t="s">
        <v>51</v>
      </c>
      <c r="G167" s="7" t="s">
        <v>58</v>
      </c>
      <c r="H167" s="7" t="s">
        <v>59</v>
      </c>
      <c r="I167" s="7" t="s">
        <v>487</v>
      </c>
    </row>
    <row r="168" customFormat="false" ht="22.35" hidden="false" customHeight="false" outlineLevel="0" collapsed="false">
      <c r="A168" s="7" t="s">
        <v>488</v>
      </c>
      <c r="B168" s="7" t="s">
        <v>39</v>
      </c>
      <c r="C168" s="7" t="s">
        <v>48</v>
      </c>
      <c r="D168" s="7" t="s">
        <v>56</v>
      </c>
      <c r="E168" s="8" t="s">
        <v>489</v>
      </c>
      <c r="F168" s="9" t="s">
        <v>51</v>
      </c>
      <c r="G168" s="7" t="s">
        <v>69</v>
      </c>
      <c r="H168" s="7" t="s">
        <v>59</v>
      </c>
      <c r="I168" s="7" t="s">
        <v>490</v>
      </c>
    </row>
    <row r="169" customFormat="false" ht="15" hidden="false" customHeight="false" outlineLevel="0" collapsed="false">
      <c r="A169" s="7" t="s">
        <v>491</v>
      </c>
      <c r="B169" s="7" t="s">
        <v>84</v>
      </c>
      <c r="C169" s="7" t="s">
        <v>55</v>
      </c>
      <c r="D169" s="7" t="s">
        <v>49</v>
      </c>
      <c r="E169" s="8" t="s">
        <v>492</v>
      </c>
      <c r="F169" s="9" t="s">
        <v>51</v>
      </c>
      <c r="G169" s="7" t="s">
        <v>69</v>
      </c>
      <c r="H169" s="7" t="s">
        <v>59</v>
      </c>
      <c r="I169" s="7" t="s">
        <v>79</v>
      </c>
    </row>
    <row r="170" customFormat="false" ht="22.35" hidden="false" customHeight="false" outlineLevel="0" collapsed="false">
      <c r="A170" s="7" t="s">
        <v>493</v>
      </c>
      <c r="B170" s="7" t="s">
        <v>132</v>
      </c>
      <c r="C170" s="7" t="s">
        <v>40</v>
      </c>
      <c r="D170" s="7" t="s">
        <v>41</v>
      </c>
      <c r="E170" s="8" t="s">
        <v>494</v>
      </c>
      <c r="F170" s="9" t="s">
        <v>43</v>
      </c>
      <c r="G170" s="7" t="s">
        <v>58</v>
      </c>
      <c r="H170" s="7" t="s">
        <v>59</v>
      </c>
      <c r="I170" s="7" t="s">
        <v>75</v>
      </c>
    </row>
    <row r="171" customFormat="false" ht="22.35" hidden="false" customHeight="false" outlineLevel="0" collapsed="false">
      <c r="A171" s="7" t="s">
        <v>495</v>
      </c>
      <c r="B171" s="7" t="s">
        <v>54</v>
      </c>
      <c r="C171" s="7" t="s">
        <v>55</v>
      </c>
      <c r="D171" s="7" t="s">
        <v>41</v>
      </c>
      <c r="E171" s="8" t="s">
        <v>496</v>
      </c>
      <c r="F171" s="9" t="s">
        <v>43</v>
      </c>
      <c r="G171" s="7" t="s">
        <v>44</v>
      </c>
      <c r="H171" s="7" t="s">
        <v>45</v>
      </c>
      <c r="I171" s="7" t="s">
        <v>267</v>
      </c>
    </row>
    <row r="172" customFormat="false" ht="15" hidden="false" customHeight="false" outlineLevel="0" collapsed="false">
      <c r="A172" s="7" t="s">
        <v>497</v>
      </c>
      <c r="B172" s="7" t="s">
        <v>77</v>
      </c>
      <c r="C172" s="7" t="s">
        <v>55</v>
      </c>
      <c r="D172" s="7" t="s">
        <v>56</v>
      </c>
      <c r="E172" s="8" t="s">
        <v>498</v>
      </c>
      <c r="F172" s="9" t="s">
        <v>51</v>
      </c>
      <c r="G172" s="7" t="s">
        <v>58</v>
      </c>
      <c r="H172" s="7" t="s">
        <v>59</v>
      </c>
      <c r="I172" s="7" t="s">
        <v>454</v>
      </c>
    </row>
    <row r="173" customFormat="false" ht="15" hidden="false" customHeight="false" outlineLevel="0" collapsed="false">
      <c r="A173" s="7" t="s">
        <v>499</v>
      </c>
      <c r="B173" s="7" t="s">
        <v>132</v>
      </c>
      <c r="C173" s="7" t="s">
        <v>55</v>
      </c>
      <c r="D173" s="7" t="s">
        <v>99</v>
      </c>
      <c r="E173" s="8" t="s">
        <v>500</v>
      </c>
      <c r="F173" s="9" t="s">
        <v>51</v>
      </c>
      <c r="G173" s="7" t="s">
        <v>69</v>
      </c>
      <c r="H173" s="7" t="s">
        <v>59</v>
      </c>
      <c r="I173" s="7" t="s">
        <v>175</v>
      </c>
    </row>
    <row r="174" customFormat="false" ht="22.35" hidden="false" customHeight="false" outlineLevel="0" collapsed="false">
      <c r="A174" s="7" t="s">
        <v>501</v>
      </c>
      <c r="B174" s="7" t="s">
        <v>95</v>
      </c>
      <c r="C174" s="7" t="s">
        <v>40</v>
      </c>
      <c r="D174" s="7" t="s">
        <v>91</v>
      </c>
      <c r="E174" s="8" t="s">
        <v>502</v>
      </c>
      <c r="F174" s="9" t="s">
        <v>107</v>
      </c>
      <c r="G174" s="7" t="s">
        <v>44</v>
      </c>
      <c r="H174" s="7" t="s">
        <v>45</v>
      </c>
      <c r="I174" s="7" t="s">
        <v>503</v>
      </c>
    </row>
    <row r="175" customFormat="false" ht="15" hidden="false" customHeight="false" outlineLevel="0" collapsed="false">
      <c r="A175" s="7" t="s">
        <v>504</v>
      </c>
      <c r="B175" s="7" t="s">
        <v>77</v>
      </c>
      <c r="C175" s="7" t="s">
        <v>40</v>
      </c>
      <c r="D175" s="7" t="s">
        <v>99</v>
      </c>
      <c r="E175" s="8" t="s">
        <v>505</v>
      </c>
      <c r="F175" s="9" t="s">
        <v>43</v>
      </c>
      <c r="G175" s="7" t="s">
        <v>58</v>
      </c>
      <c r="H175" s="7" t="s">
        <v>59</v>
      </c>
      <c r="I175" s="7" t="s">
        <v>169</v>
      </c>
    </row>
    <row r="176" customFormat="false" ht="22.35" hidden="false" customHeight="false" outlineLevel="0" collapsed="false">
      <c r="A176" s="7" t="s">
        <v>506</v>
      </c>
      <c r="B176" s="7" t="s">
        <v>77</v>
      </c>
      <c r="C176" s="7" t="s">
        <v>40</v>
      </c>
      <c r="D176" s="7" t="s">
        <v>41</v>
      </c>
      <c r="E176" s="8" t="s">
        <v>507</v>
      </c>
      <c r="F176" s="9" t="s">
        <v>51</v>
      </c>
      <c r="G176" s="7" t="s">
        <v>44</v>
      </c>
      <c r="H176" s="7" t="s">
        <v>45</v>
      </c>
      <c r="I176" s="7" t="s">
        <v>508</v>
      </c>
    </row>
    <row r="177" customFormat="false" ht="22.35" hidden="false" customHeight="false" outlineLevel="0" collapsed="false">
      <c r="A177" s="7" t="s">
        <v>509</v>
      </c>
      <c r="B177" s="7" t="s">
        <v>77</v>
      </c>
      <c r="C177" s="7" t="s">
        <v>55</v>
      </c>
      <c r="D177" s="7" t="s">
        <v>91</v>
      </c>
      <c r="E177" s="8" t="s">
        <v>510</v>
      </c>
      <c r="F177" s="9" t="s">
        <v>51</v>
      </c>
      <c r="G177" s="7" t="s">
        <v>69</v>
      </c>
      <c r="H177" s="7" t="s">
        <v>59</v>
      </c>
      <c r="I177" s="7" t="s">
        <v>511</v>
      </c>
    </row>
    <row r="178" customFormat="false" ht="22.35" hidden="false" customHeight="false" outlineLevel="0" collapsed="false">
      <c r="A178" s="7" t="s">
        <v>512</v>
      </c>
      <c r="B178" s="7" t="s">
        <v>77</v>
      </c>
      <c r="C178" s="7" t="s">
        <v>48</v>
      </c>
      <c r="D178" s="7" t="s">
        <v>99</v>
      </c>
      <c r="E178" s="8" t="s">
        <v>513</v>
      </c>
      <c r="F178" s="9" t="s">
        <v>43</v>
      </c>
      <c r="G178" s="7" t="s">
        <v>73</v>
      </c>
      <c r="H178" s="7" t="s">
        <v>74</v>
      </c>
      <c r="I178" s="7" t="s">
        <v>101</v>
      </c>
    </row>
    <row r="179" customFormat="false" ht="22.35" hidden="false" customHeight="false" outlineLevel="0" collapsed="false">
      <c r="A179" s="7" t="s">
        <v>514</v>
      </c>
      <c r="B179" s="7" t="s">
        <v>84</v>
      </c>
      <c r="C179" s="7" t="s">
        <v>63</v>
      </c>
      <c r="D179" s="7" t="s">
        <v>56</v>
      </c>
      <c r="E179" s="8" t="s">
        <v>515</v>
      </c>
      <c r="F179" s="9" t="s">
        <v>43</v>
      </c>
      <c r="G179" s="7" t="s">
        <v>69</v>
      </c>
      <c r="H179" s="7" t="s">
        <v>59</v>
      </c>
      <c r="I179" s="7" t="s">
        <v>516</v>
      </c>
    </row>
    <row r="180" customFormat="false" ht="22.35" hidden="false" customHeight="false" outlineLevel="0" collapsed="false">
      <c r="A180" s="7" t="s">
        <v>517</v>
      </c>
      <c r="B180" s="7" t="s">
        <v>132</v>
      </c>
      <c r="C180" s="7" t="s">
        <v>63</v>
      </c>
      <c r="D180" s="7" t="s">
        <v>99</v>
      </c>
      <c r="E180" s="8" t="s">
        <v>518</v>
      </c>
      <c r="F180" s="9" t="s">
        <v>43</v>
      </c>
      <c r="G180" s="7" t="s">
        <v>73</v>
      </c>
      <c r="H180" s="7" t="s">
        <v>74</v>
      </c>
      <c r="I180" s="7" t="s">
        <v>108</v>
      </c>
    </row>
    <row r="181" customFormat="false" ht="15" hidden="false" customHeight="false" outlineLevel="0" collapsed="false">
      <c r="A181" s="7" t="s">
        <v>519</v>
      </c>
      <c r="B181" s="7" t="s">
        <v>132</v>
      </c>
      <c r="C181" s="7" t="s">
        <v>55</v>
      </c>
      <c r="D181" s="7" t="s">
        <v>91</v>
      </c>
      <c r="E181" s="8" t="s">
        <v>520</v>
      </c>
      <c r="F181" s="9" t="s">
        <v>43</v>
      </c>
      <c r="G181" s="7" t="s">
        <v>44</v>
      </c>
      <c r="H181" s="7" t="s">
        <v>45</v>
      </c>
      <c r="I181" s="7" t="s">
        <v>521</v>
      </c>
    </row>
    <row r="182" customFormat="false" ht="22.35" hidden="false" customHeight="false" outlineLevel="0" collapsed="false">
      <c r="A182" s="7" t="s">
        <v>522</v>
      </c>
      <c r="B182" s="7" t="s">
        <v>39</v>
      </c>
      <c r="C182" s="7" t="s">
        <v>48</v>
      </c>
      <c r="D182" s="7" t="s">
        <v>56</v>
      </c>
      <c r="E182" s="8" t="s">
        <v>523</v>
      </c>
      <c r="F182" s="9" t="s">
        <v>51</v>
      </c>
      <c r="G182" s="7" t="s">
        <v>44</v>
      </c>
      <c r="H182" s="7" t="s">
        <v>45</v>
      </c>
      <c r="I182" s="7" t="s">
        <v>524</v>
      </c>
    </row>
    <row r="183" customFormat="false" ht="22.35" hidden="false" customHeight="false" outlineLevel="0" collapsed="false">
      <c r="A183" s="7" t="s">
        <v>525</v>
      </c>
      <c r="B183" s="7" t="s">
        <v>84</v>
      </c>
      <c r="C183" s="7" t="s">
        <v>48</v>
      </c>
      <c r="D183" s="7" t="s">
        <v>99</v>
      </c>
      <c r="E183" s="8" t="s">
        <v>526</v>
      </c>
      <c r="F183" s="9" t="s">
        <v>51</v>
      </c>
      <c r="G183" s="7" t="s">
        <v>44</v>
      </c>
      <c r="H183" s="7" t="s">
        <v>45</v>
      </c>
      <c r="I183" s="7" t="s">
        <v>108</v>
      </c>
    </row>
    <row r="184" customFormat="false" ht="22.35" hidden="false" customHeight="false" outlineLevel="0" collapsed="false">
      <c r="A184" s="7" t="s">
        <v>527</v>
      </c>
      <c r="B184" s="7" t="s">
        <v>39</v>
      </c>
      <c r="C184" s="7" t="s">
        <v>48</v>
      </c>
      <c r="D184" s="7" t="s">
        <v>49</v>
      </c>
      <c r="E184" s="8" t="s">
        <v>528</v>
      </c>
      <c r="F184" s="9" t="s">
        <v>43</v>
      </c>
      <c r="G184" s="7" t="s">
        <v>58</v>
      </c>
      <c r="H184" s="7" t="s">
        <v>59</v>
      </c>
      <c r="I184" s="7" t="s">
        <v>186</v>
      </c>
    </row>
    <row r="185" customFormat="false" ht="15" hidden="false" customHeight="false" outlineLevel="0" collapsed="false">
      <c r="A185" s="7" t="s">
        <v>529</v>
      </c>
      <c r="B185" s="7" t="s">
        <v>84</v>
      </c>
      <c r="C185" s="7" t="s">
        <v>63</v>
      </c>
      <c r="D185" s="7" t="s">
        <v>56</v>
      </c>
      <c r="E185" s="8" t="s">
        <v>530</v>
      </c>
      <c r="F185" s="9" t="s">
        <v>43</v>
      </c>
      <c r="G185" s="7" t="s">
        <v>44</v>
      </c>
      <c r="H185" s="7" t="s">
        <v>45</v>
      </c>
      <c r="I185" s="7" t="s">
        <v>531</v>
      </c>
    </row>
    <row r="186" customFormat="false" ht="22.35" hidden="false" customHeight="false" outlineLevel="0" collapsed="false">
      <c r="A186" s="7" t="s">
        <v>532</v>
      </c>
      <c r="B186" s="7" t="s">
        <v>132</v>
      </c>
      <c r="C186" s="7" t="s">
        <v>40</v>
      </c>
      <c r="D186" s="7" t="s">
        <v>99</v>
      </c>
      <c r="E186" s="8" t="s">
        <v>533</v>
      </c>
      <c r="F186" s="9" t="s">
        <v>43</v>
      </c>
      <c r="G186" s="7" t="s">
        <v>58</v>
      </c>
      <c r="H186" s="7" t="s">
        <v>59</v>
      </c>
      <c r="I186" s="7" t="s">
        <v>122</v>
      </c>
    </row>
    <row r="187" customFormat="false" ht="22.35" hidden="false" customHeight="false" outlineLevel="0" collapsed="false">
      <c r="A187" s="7" t="s">
        <v>534</v>
      </c>
      <c r="B187" s="7" t="s">
        <v>54</v>
      </c>
      <c r="C187" s="7" t="s">
        <v>40</v>
      </c>
      <c r="D187" s="7" t="s">
        <v>56</v>
      </c>
      <c r="E187" s="8" t="s">
        <v>535</v>
      </c>
      <c r="F187" s="9" t="s">
        <v>51</v>
      </c>
      <c r="G187" s="7" t="s">
        <v>44</v>
      </c>
      <c r="H187" s="7" t="s">
        <v>45</v>
      </c>
      <c r="I187" s="7" t="s">
        <v>536</v>
      </c>
    </row>
    <row r="188" customFormat="false" ht="22.35" hidden="false" customHeight="false" outlineLevel="0" collapsed="false">
      <c r="A188" s="7" t="s">
        <v>537</v>
      </c>
      <c r="B188" s="7" t="s">
        <v>62</v>
      </c>
      <c r="C188" s="7" t="s">
        <v>48</v>
      </c>
      <c r="D188" s="7" t="s">
        <v>91</v>
      </c>
      <c r="E188" s="8" t="s">
        <v>538</v>
      </c>
      <c r="F188" s="9" t="s">
        <v>51</v>
      </c>
      <c r="G188" s="7" t="s">
        <v>44</v>
      </c>
      <c r="H188" s="7" t="s">
        <v>45</v>
      </c>
      <c r="I188" s="7" t="s">
        <v>539</v>
      </c>
    </row>
    <row r="189" customFormat="false" ht="22.35" hidden="false" customHeight="false" outlineLevel="0" collapsed="false">
      <c r="A189" s="7" t="s">
        <v>540</v>
      </c>
      <c r="B189" s="7" t="s">
        <v>39</v>
      </c>
      <c r="C189" s="7" t="s">
        <v>40</v>
      </c>
      <c r="D189" s="7" t="s">
        <v>41</v>
      </c>
      <c r="E189" s="8" t="s">
        <v>541</v>
      </c>
      <c r="F189" s="9" t="s">
        <v>43</v>
      </c>
      <c r="G189" s="7" t="s">
        <v>44</v>
      </c>
      <c r="H189" s="7" t="s">
        <v>45</v>
      </c>
      <c r="I189" s="7" t="s">
        <v>183</v>
      </c>
    </row>
    <row r="190" customFormat="false" ht="22.35" hidden="false" customHeight="false" outlineLevel="0" collapsed="false">
      <c r="A190" s="7" t="s">
        <v>542</v>
      </c>
      <c r="B190" s="7" t="s">
        <v>84</v>
      </c>
      <c r="C190" s="7" t="s">
        <v>55</v>
      </c>
      <c r="D190" s="7" t="s">
        <v>41</v>
      </c>
      <c r="E190" s="8" t="s">
        <v>543</v>
      </c>
      <c r="F190" s="9" t="s">
        <v>43</v>
      </c>
      <c r="G190" s="7" t="s">
        <v>44</v>
      </c>
      <c r="H190" s="7" t="s">
        <v>45</v>
      </c>
      <c r="I190" s="7" t="s">
        <v>441</v>
      </c>
    </row>
    <row r="191" customFormat="false" ht="22.35" hidden="false" customHeight="false" outlineLevel="0" collapsed="false">
      <c r="A191" s="7" t="s">
        <v>544</v>
      </c>
      <c r="B191" s="7" t="s">
        <v>84</v>
      </c>
      <c r="C191" s="7" t="s">
        <v>63</v>
      </c>
      <c r="D191" s="7" t="s">
        <v>41</v>
      </c>
      <c r="E191" s="8" t="s">
        <v>545</v>
      </c>
      <c r="F191" s="9" t="s">
        <v>43</v>
      </c>
      <c r="G191" s="7" t="s">
        <v>44</v>
      </c>
      <c r="H191" s="7" t="s">
        <v>45</v>
      </c>
      <c r="I191" s="7" t="s">
        <v>546</v>
      </c>
    </row>
    <row r="192" customFormat="false" ht="22.35" hidden="false" customHeight="false" outlineLevel="0" collapsed="false">
      <c r="A192" s="7" t="s">
        <v>547</v>
      </c>
      <c r="B192" s="7" t="s">
        <v>62</v>
      </c>
      <c r="C192" s="7" t="s">
        <v>40</v>
      </c>
      <c r="D192" s="7" t="s">
        <v>56</v>
      </c>
      <c r="E192" s="8" t="s">
        <v>548</v>
      </c>
      <c r="F192" s="9" t="s">
        <v>107</v>
      </c>
      <c r="G192" s="7" t="s">
        <v>44</v>
      </c>
      <c r="H192" s="7" t="s">
        <v>45</v>
      </c>
      <c r="I192" s="7" t="s">
        <v>549</v>
      </c>
    </row>
    <row r="193" customFormat="false" ht="22.35" hidden="false" customHeight="false" outlineLevel="0" collapsed="false">
      <c r="A193" s="7" t="s">
        <v>550</v>
      </c>
      <c r="B193" s="7" t="s">
        <v>95</v>
      </c>
      <c r="C193" s="7" t="s">
        <v>48</v>
      </c>
      <c r="D193" s="7" t="s">
        <v>91</v>
      </c>
      <c r="E193" s="8" t="s">
        <v>551</v>
      </c>
      <c r="F193" s="9" t="s">
        <v>43</v>
      </c>
      <c r="G193" s="7" t="s">
        <v>44</v>
      </c>
      <c r="H193" s="7" t="s">
        <v>45</v>
      </c>
      <c r="I193" s="7" t="s">
        <v>552</v>
      </c>
    </row>
    <row r="194" customFormat="false" ht="22.35" hidden="false" customHeight="false" outlineLevel="0" collapsed="false">
      <c r="A194" s="7" t="s">
        <v>553</v>
      </c>
      <c r="B194" s="7" t="s">
        <v>95</v>
      </c>
      <c r="C194" s="7" t="s">
        <v>48</v>
      </c>
      <c r="D194" s="7" t="s">
        <v>91</v>
      </c>
      <c r="E194" s="8" t="s">
        <v>554</v>
      </c>
      <c r="F194" s="9" t="s">
        <v>43</v>
      </c>
      <c r="G194" s="7" t="s">
        <v>69</v>
      </c>
      <c r="H194" s="7" t="s">
        <v>59</v>
      </c>
      <c r="I194" s="7" t="s">
        <v>555</v>
      </c>
    </row>
    <row r="195" customFormat="false" ht="15" hidden="false" customHeight="false" outlineLevel="0" collapsed="false">
      <c r="A195" s="7" t="s">
        <v>556</v>
      </c>
      <c r="B195" s="7" t="s">
        <v>84</v>
      </c>
      <c r="C195" s="7" t="s">
        <v>48</v>
      </c>
      <c r="D195" s="7" t="s">
        <v>99</v>
      </c>
      <c r="E195" s="8" t="s">
        <v>557</v>
      </c>
      <c r="F195" s="9" t="s">
        <v>43</v>
      </c>
      <c r="G195" s="7" t="s">
        <v>58</v>
      </c>
      <c r="H195" s="7" t="s">
        <v>59</v>
      </c>
      <c r="I195" s="7" t="s">
        <v>169</v>
      </c>
    </row>
    <row r="196" customFormat="false" ht="15" hidden="false" customHeight="false" outlineLevel="0" collapsed="false">
      <c r="A196" s="7" t="s">
        <v>558</v>
      </c>
      <c r="B196" s="7" t="s">
        <v>95</v>
      </c>
      <c r="C196" s="7" t="s">
        <v>48</v>
      </c>
      <c r="D196" s="7" t="s">
        <v>99</v>
      </c>
      <c r="E196" s="8" t="s">
        <v>559</v>
      </c>
      <c r="F196" s="9" t="s">
        <v>43</v>
      </c>
      <c r="G196" s="7" t="s">
        <v>44</v>
      </c>
      <c r="H196" s="7" t="s">
        <v>45</v>
      </c>
      <c r="I196" s="7" t="s">
        <v>169</v>
      </c>
    </row>
    <row r="197" customFormat="false" ht="22.35" hidden="false" customHeight="false" outlineLevel="0" collapsed="false">
      <c r="A197" s="7" t="s">
        <v>560</v>
      </c>
      <c r="B197" s="7" t="s">
        <v>54</v>
      </c>
      <c r="C197" s="7" t="s">
        <v>63</v>
      </c>
      <c r="D197" s="7" t="s">
        <v>91</v>
      </c>
      <c r="E197" s="8" t="s">
        <v>561</v>
      </c>
      <c r="F197" s="9" t="s">
        <v>43</v>
      </c>
      <c r="G197" s="7" t="s">
        <v>44</v>
      </c>
      <c r="H197" s="7" t="s">
        <v>45</v>
      </c>
      <c r="I197" s="7" t="s">
        <v>562</v>
      </c>
    </row>
    <row r="198" customFormat="false" ht="22.35" hidden="false" customHeight="false" outlineLevel="0" collapsed="false">
      <c r="A198" s="7" t="s">
        <v>563</v>
      </c>
      <c r="B198" s="7" t="s">
        <v>39</v>
      </c>
      <c r="C198" s="7" t="s">
        <v>55</v>
      </c>
      <c r="D198" s="7" t="s">
        <v>56</v>
      </c>
      <c r="E198" s="8" t="s">
        <v>564</v>
      </c>
      <c r="F198" s="9" t="s">
        <v>107</v>
      </c>
      <c r="G198" s="7" t="s">
        <v>44</v>
      </c>
      <c r="H198" s="7" t="s">
        <v>45</v>
      </c>
      <c r="I198" s="7" t="s">
        <v>565</v>
      </c>
    </row>
    <row r="199" customFormat="false" ht="22.35" hidden="false" customHeight="false" outlineLevel="0" collapsed="false">
      <c r="A199" s="7" t="s">
        <v>566</v>
      </c>
      <c r="B199" s="7" t="s">
        <v>67</v>
      </c>
      <c r="C199" s="7" t="s">
        <v>40</v>
      </c>
      <c r="D199" s="7" t="s">
        <v>49</v>
      </c>
      <c r="E199" s="8" t="s">
        <v>567</v>
      </c>
      <c r="F199" s="9" t="s">
        <v>51</v>
      </c>
      <c r="G199" s="7" t="s">
        <v>58</v>
      </c>
      <c r="H199" s="7" t="s">
        <v>59</v>
      </c>
      <c r="I199" s="7" t="s">
        <v>282</v>
      </c>
    </row>
    <row r="200" customFormat="false" ht="22.35" hidden="false" customHeight="false" outlineLevel="0" collapsed="false">
      <c r="A200" s="7" t="s">
        <v>568</v>
      </c>
      <c r="B200" s="7" t="s">
        <v>39</v>
      </c>
      <c r="C200" s="7" t="s">
        <v>40</v>
      </c>
      <c r="D200" s="7" t="s">
        <v>41</v>
      </c>
      <c r="E200" s="8" t="s">
        <v>569</v>
      </c>
      <c r="F200" s="9" t="s">
        <v>43</v>
      </c>
      <c r="G200" s="7" t="s">
        <v>69</v>
      </c>
      <c r="H200" s="7" t="s">
        <v>59</v>
      </c>
      <c r="I200" s="7" t="s">
        <v>441</v>
      </c>
    </row>
    <row r="201" customFormat="false" ht="22.35" hidden="false" customHeight="false" outlineLevel="0" collapsed="false">
      <c r="A201" s="7" t="s">
        <v>570</v>
      </c>
      <c r="B201" s="7" t="s">
        <v>84</v>
      </c>
      <c r="C201" s="7" t="s">
        <v>48</v>
      </c>
      <c r="D201" s="7" t="s">
        <v>56</v>
      </c>
      <c r="E201" s="8" t="s">
        <v>571</v>
      </c>
      <c r="F201" s="9" t="s">
        <v>51</v>
      </c>
      <c r="G201" s="7" t="s">
        <v>44</v>
      </c>
      <c r="H201" s="7" t="s">
        <v>45</v>
      </c>
      <c r="I201" s="7" t="s">
        <v>572</v>
      </c>
    </row>
    <row r="202" customFormat="false" ht="22.35" hidden="false" customHeight="false" outlineLevel="0" collapsed="false">
      <c r="A202" s="7" t="s">
        <v>573</v>
      </c>
      <c r="B202" s="7" t="s">
        <v>39</v>
      </c>
      <c r="C202" s="7" t="s">
        <v>63</v>
      </c>
      <c r="D202" s="7" t="s">
        <v>49</v>
      </c>
      <c r="E202" s="8" t="s">
        <v>574</v>
      </c>
      <c r="F202" s="9" t="s">
        <v>51</v>
      </c>
      <c r="G202" s="7" t="s">
        <v>58</v>
      </c>
      <c r="H202" s="7" t="s">
        <v>59</v>
      </c>
      <c r="I202" s="7" t="s">
        <v>282</v>
      </c>
    </row>
    <row r="203" customFormat="false" ht="22.35" hidden="false" customHeight="false" outlineLevel="0" collapsed="false">
      <c r="A203" s="7" t="s">
        <v>575</v>
      </c>
      <c r="B203" s="7" t="s">
        <v>77</v>
      </c>
      <c r="C203" s="7" t="s">
        <v>48</v>
      </c>
      <c r="D203" s="7" t="s">
        <v>91</v>
      </c>
      <c r="E203" s="8" t="s">
        <v>576</v>
      </c>
      <c r="F203" s="9" t="s">
        <v>43</v>
      </c>
      <c r="G203" s="7" t="s">
        <v>44</v>
      </c>
      <c r="H203" s="7" t="s">
        <v>45</v>
      </c>
      <c r="I203" s="7" t="s">
        <v>111</v>
      </c>
    </row>
    <row r="204" customFormat="false" ht="22.35" hidden="false" customHeight="false" outlineLevel="0" collapsed="false">
      <c r="A204" s="7" t="s">
        <v>577</v>
      </c>
      <c r="B204" s="7" t="s">
        <v>84</v>
      </c>
      <c r="C204" s="7" t="s">
        <v>63</v>
      </c>
      <c r="D204" s="7" t="s">
        <v>41</v>
      </c>
      <c r="E204" s="8" t="s">
        <v>578</v>
      </c>
      <c r="F204" s="9" t="s">
        <v>107</v>
      </c>
      <c r="G204" s="7" t="s">
        <v>44</v>
      </c>
      <c r="H204" s="7" t="s">
        <v>45</v>
      </c>
      <c r="I204" s="7" t="s">
        <v>579</v>
      </c>
    </row>
    <row r="205" customFormat="false" ht="22.35" hidden="false" customHeight="false" outlineLevel="0" collapsed="false">
      <c r="A205" s="7" t="s">
        <v>580</v>
      </c>
      <c r="B205" s="7" t="s">
        <v>54</v>
      </c>
      <c r="C205" s="7" t="s">
        <v>55</v>
      </c>
      <c r="D205" s="7" t="s">
        <v>41</v>
      </c>
      <c r="E205" s="8" t="s">
        <v>581</v>
      </c>
      <c r="F205" s="9" t="s">
        <v>43</v>
      </c>
      <c r="G205" s="7" t="s">
        <v>58</v>
      </c>
      <c r="H205" s="7" t="s">
        <v>59</v>
      </c>
      <c r="I205" s="7" t="s">
        <v>267</v>
      </c>
    </row>
    <row r="206" customFormat="false" ht="22.35" hidden="false" customHeight="false" outlineLevel="0" collapsed="false">
      <c r="A206" s="7" t="s">
        <v>582</v>
      </c>
      <c r="B206" s="7" t="s">
        <v>77</v>
      </c>
      <c r="C206" s="7" t="s">
        <v>63</v>
      </c>
      <c r="D206" s="7" t="s">
        <v>99</v>
      </c>
      <c r="E206" s="8" t="s">
        <v>583</v>
      </c>
      <c r="F206" s="9" t="s">
        <v>51</v>
      </c>
      <c r="G206" s="7" t="s">
        <v>58</v>
      </c>
      <c r="H206" s="7" t="s">
        <v>59</v>
      </c>
      <c r="I206" s="7" t="s">
        <v>175</v>
      </c>
    </row>
    <row r="207" customFormat="false" ht="15" hidden="false" customHeight="false" outlineLevel="0" collapsed="false">
      <c r="A207" s="7" t="s">
        <v>584</v>
      </c>
      <c r="B207" s="7" t="s">
        <v>54</v>
      </c>
      <c r="C207" s="7" t="s">
        <v>40</v>
      </c>
      <c r="D207" s="7" t="s">
        <v>91</v>
      </c>
      <c r="E207" s="8" t="s">
        <v>585</v>
      </c>
      <c r="F207" s="9" t="s">
        <v>51</v>
      </c>
      <c r="G207" s="7" t="s">
        <v>58</v>
      </c>
      <c r="H207" s="7" t="s">
        <v>59</v>
      </c>
      <c r="I207" s="7" t="s">
        <v>586</v>
      </c>
    </row>
    <row r="208" customFormat="false" ht="22.35" hidden="false" customHeight="false" outlineLevel="0" collapsed="false">
      <c r="A208" s="7" t="s">
        <v>587</v>
      </c>
      <c r="B208" s="7" t="s">
        <v>132</v>
      </c>
      <c r="C208" s="7" t="s">
        <v>55</v>
      </c>
      <c r="D208" s="7" t="s">
        <v>91</v>
      </c>
      <c r="E208" s="8" t="s">
        <v>588</v>
      </c>
      <c r="F208" s="9" t="s">
        <v>107</v>
      </c>
      <c r="G208" s="7" t="s">
        <v>139</v>
      </c>
      <c r="H208" s="7" t="s">
        <v>74</v>
      </c>
      <c r="I208" s="7" t="s">
        <v>589</v>
      </c>
    </row>
    <row r="209" customFormat="false" ht="22.35" hidden="false" customHeight="false" outlineLevel="0" collapsed="false">
      <c r="A209" s="7" t="s">
        <v>590</v>
      </c>
      <c r="B209" s="7" t="s">
        <v>95</v>
      </c>
      <c r="C209" s="7" t="s">
        <v>40</v>
      </c>
      <c r="D209" s="7" t="s">
        <v>41</v>
      </c>
      <c r="E209" s="8" t="s">
        <v>591</v>
      </c>
      <c r="F209" s="9" t="s">
        <v>51</v>
      </c>
      <c r="G209" s="7" t="s">
        <v>58</v>
      </c>
      <c r="H209" s="7" t="s">
        <v>59</v>
      </c>
      <c r="I209" s="7" t="s">
        <v>183</v>
      </c>
    </row>
    <row r="210" customFormat="false" ht="22.35" hidden="false" customHeight="false" outlineLevel="0" collapsed="false">
      <c r="A210" s="7" t="s">
        <v>592</v>
      </c>
      <c r="B210" s="7" t="s">
        <v>77</v>
      </c>
      <c r="C210" s="7" t="s">
        <v>40</v>
      </c>
      <c r="D210" s="7" t="s">
        <v>56</v>
      </c>
      <c r="E210" s="8" t="s">
        <v>593</v>
      </c>
      <c r="F210" s="9" t="s">
        <v>51</v>
      </c>
      <c r="G210" s="7" t="s">
        <v>44</v>
      </c>
      <c r="H210" s="7" t="s">
        <v>45</v>
      </c>
      <c r="I210" s="7" t="s">
        <v>594</v>
      </c>
    </row>
    <row r="211" customFormat="false" ht="22.35" hidden="false" customHeight="false" outlineLevel="0" collapsed="false">
      <c r="A211" s="7" t="s">
        <v>595</v>
      </c>
      <c r="B211" s="7" t="s">
        <v>95</v>
      </c>
      <c r="C211" s="7" t="s">
        <v>48</v>
      </c>
      <c r="D211" s="7" t="s">
        <v>56</v>
      </c>
      <c r="E211" s="8" t="s">
        <v>596</v>
      </c>
      <c r="F211" s="9" t="s">
        <v>51</v>
      </c>
      <c r="G211" s="7" t="s">
        <v>58</v>
      </c>
      <c r="H211" s="7" t="s">
        <v>59</v>
      </c>
      <c r="I211" s="7" t="s">
        <v>409</v>
      </c>
    </row>
    <row r="212" customFormat="false" ht="22.35" hidden="false" customHeight="false" outlineLevel="0" collapsed="false">
      <c r="A212" s="7" t="s">
        <v>597</v>
      </c>
      <c r="B212" s="7" t="s">
        <v>39</v>
      </c>
      <c r="C212" s="7" t="s">
        <v>48</v>
      </c>
      <c r="D212" s="7" t="s">
        <v>56</v>
      </c>
      <c r="E212" s="8" t="s">
        <v>598</v>
      </c>
      <c r="F212" s="9" t="s">
        <v>51</v>
      </c>
      <c r="G212" s="7" t="s">
        <v>44</v>
      </c>
      <c r="H212" s="7" t="s">
        <v>45</v>
      </c>
      <c r="I212" s="7" t="s">
        <v>599</v>
      </c>
    </row>
    <row r="213" customFormat="false" ht="22.35" hidden="false" customHeight="false" outlineLevel="0" collapsed="false">
      <c r="A213" s="7" t="s">
        <v>600</v>
      </c>
      <c r="B213" s="7" t="s">
        <v>54</v>
      </c>
      <c r="C213" s="7" t="s">
        <v>55</v>
      </c>
      <c r="D213" s="7" t="s">
        <v>41</v>
      </c>
      <c r="E213" s="8" t="s">
        <v>601</v>
      </c>
      <c r="F213" s="9" t="s">
        <v>43</v>
      </c>
      <c r="G213" s="7" t="s">
        <v>44</v>
      </c>
      <c r="H213" s="7" t="s">
        <v>45</v>
      </c>
      <c r="I213" s="7" t="s">
        <v>602</v>
      </c>
    </row>
    <row r="214" customFormat="false" ht="15" hidden="false" customHeight="false" outlineLevel="0" collapsed="false">
      <c r="A214" s="7" t="s">
        <v>603</v>
      </c>
      <c r="B214" s="7" t="s">
        <v>84</v>
      </c>
      <c r="C214" s="7" t="s">
        <v>63</v>
      </c>
      <c r="D214" s="7" t="s">
        <v>56</v>
      </c>
      <c r="E214" s="8" t="s">
        <v>604</v>
      </c>
      <c r="F214" s="9" t="s">
        <v>43</v>
      </c>
      <c r="G214" s="7" t="s">
        <v>44</v>
      </c>
      <c r="H214" s="7" t="s">
        <v>45</v>
      </c>
      <c r="I214" s="7" t="s">
        <v>605</v>
      </c>
    </row>
    <row r="215" customFormat="false" ht="22.35" hidden="false" customHeight="false" outlineLevel="0" collapsed="false">
      <c r="A215" s="7" t="s">
        <v>606</v>
      </c>
      <c r="B215" s="7" t="s">
        <v>77</v>
      </c>
      <c r="C215" s="7" t="s">
        <v>40</v>
      </c>
      <c r="D215" s="7" t="s">
        <v>41</v>
      </c>
      <c r="E215" s="8" t="s">
        <v>607</v>
      </c>
      <c r="F215" s="9" t="s">
        <v>107</v>
      </c>
      <c r="G215" s="7" t="s">
        <v>44</v>
      </c>
      <c r="H215" s="7" t="s">
        <v>45</v>
      </c>
      <c r="I215" s="7" t="s">
        <v>205</v>
      </c>
    </row>
    <row r="216" customFormat="false" ht="22.35" hidden="false" customHeight="false" outlineLevel="0" collapsed="false">
      <c r="A216" s="7" t="s">
        <v>608</v>
      </c>
      <c r="B216" s="7" t="s">
        <v>84</v>
      </c>
      <c r="C216" s="7" t="s">
        <v>63</v>
      </c>
      <c r="D216" s="7" t="s">
        <v>41</v>
      </c>
      <c r="E216" s="8" t="s">
        <v>609</v>
      </c>
      <c r="F216" s="9" t="s">
        <v>51</v>
      </c>
      <c r="G216" s="7" t="s">
        <v>69</v>
      </c>
      <c r="H216" s="7" t="s">
        <v>59</v>
      </c>
      <c r="I216" s="7" t="s">
        <v>279</v>
      </c>
    </row>
    <row r="217" customFormat="false" ht="22.35" hidden="false" customHeight="false" outlineLevel="0" collapsed="false">
      <c r="A217" s="7" t="s">
        <v>610</v>
      </c>
      <c r="B217" s="7" t="s">
        <v>132</v>
      </c>
      <c r="C217" s="7" t="s">
        <v>55</v>
      </c>
      <c r="D217" s="7" t="s">
        <v>99</v>
      </c>
      <c r="E217" s="8" t="s">
        <v>611</v>
      </c>
      <c r="F217" s="9" t="s">
        <v>51</v>
      </c>
      <c r="G217" s="7" t="s">
        <v>69</v>
      </c>
      <c r="H217" s="7" t="s">
        <v>59</v>
      </c>
      <c r="I217" s="7" t="s">
        <v>169</v>
      </c>
    </row>
    <row r="218" customFormat="false" ht="22.35" hidden="false" customHeight="false" outlineLevel="0" collapsed="false">
      <c r="A218" s="7" t="s">
        <v>612</v>
      </c>
      <c r="B218" s="7" t="s">
        <v>77</v>
      </c>
      <c r="C218" s="7" t="s">
        <v>48</v>
      </c>
      <c r="D218" s="7" t="s">
        <v>41</v>
      </c>
      <c r="E218" s="8" t="s">
        <v>613</v>
      </c>
      <c r="F218" s="9" t="s">
        <v>51</v>
      </c>
      <c r="G218" s="7" t="s">
        <v>44</v>
      </c>
      <c r="H218" s="7" t="s">
        <v>45</v>
      </c>
      <c r="I218" s="7" t="s">
        <v>232</v>
      </c>
    </row>
    <row r="219" customFormat="false" ht="22.35" hidden="false" customHeight="false" outlineLevel="0" collapsed="false">
      <c r="A219" s="7" t="s">
        <v>614</v>
      </c>
      <c r="B219" s="7" t="s">
        <v>54</v>
      </c>
      <c r="C219" s="7" t="s">
        <v>40</v>
      </c>
      <c r="D219" s="7" t="s">
        <v>99</v>
      </c>
      <c r="E219" s="8" t="s">
        <v>615</v>
      </c>
      <c r="F219" s="9" t="s">
        <v>107</v>
      </c>
      <c r="G219" s="7" t="s">
        <v>44</v>
      </c>
      <c r="H219" s="7" t="s">
        <v>45</v>
      </c>
      <c r="I219" s="7" t="s">
        <v>108</v>
      </c>
    </row>
    <row r="220" customFormat="false" ht="22.35" hidden="false" customHeight="false" outlineLevel="0" collapsed="false">
      <c r="A220" s="7" t="s">
        <v>616</v>
      </c>
      <c r="B220" s="7" t="s">
        <v>132</v>
      </c>
      <c r="C220" s="7" t="s">
        <v>48</v>
      </c>
      <c r="D220" s="7" t="s">
        <v>91</v>
      </c>
      <c r="E220" s="8" t="s">
        <v>617</v>
      </c>
      <c r="F220" s="9" t="s">
        <v>51</v>
      </c>
      <c r="G220" s="7" t="s">
        <v>69</v>
      </c>
      <c r="H220" s="7" t="s">
        <v>59</v>
      </c>
      <c r="I220" s="7" t="s">
        <v>618</v>
      </c>
    </row>
    <row r="221" customFormat="false" ht="22.35" hidden="false" customHeight="false" outlineLevel="0" collapsed="false">
      <c r="A221" s="7" t="s">
        <v>619</v>
      </c>
      <c r="B221" s="7" t="s">
        <v>67</v>
      </c>
      <c r="C221" s="7" t="s">
        <v>48</v>
      </c>
      <c r="D221" s="7" t="s">
        <v>56</v>
      </c>
      <c r="E221" s="8" t="s">
        <v>620</v>
      </c>
      <c r="F221" s="9" t="s">
        <v>51</v>
      </c>
      <c r="G221" s="7" t="s">
        <v>58</v>
      </c>
      <c r="H221" s="7" t="s">
        <v>59</v>
      </c>
      <c r="I221" s="7" t="s">
        <v>232</v>
      </c>
    </row>
    <row r="222" customFormat="false" ht="22.35" hidden="false" customHeight="false" outlineLevel="0" collapsed="false">
      <c r="A222" s="7" t="s">
        <v>621</v>
      </c>
      <c r="B222" s="7" t="s">
        <v>84</v>
      </c>
      <c r="C222" s="7" t="s">
        <v>63</v>
      </c>
      <c r="D222" s="7" t="s">
        <v>49</v>
      </c>
      <c r="E222" s="8" t="s">
        <v>622</v>
      </c>
      <c r="F222" s="9" t="s">
        <v>51</v>
      </c>
      <c r="G222" s="7" t="s">
        <v>44</v>
      </c>
      <c r="H222" s="7" t="s">
        <v>45</v>
      </c>
      <c r="I222" s="7" t="s">
        <v>186</v>
      </c>
    </row>
    <row r="223" customFormat="false" ht="15" hidden="false" customHeight="false" outlineLevel="0" collapsed="false">
      <c r="A223" s="7" t="s">
        <v>623</v>
      </c>
      <c r="B223" s="7" t="s">
        <v>39</v>
      </c>
      <c r="C223" s="7" t="s">
        <v>63</v>
      </c>
      <c r="D223" s="7" t="s">
        <v>91</v>
      </c>
      <c r="E223" s="8" t="s">
        <v>624</v>
      </c>
      <c r="F223" s="9" t="s">
        <v>43</v>
      </c>
      <c r="G223" s="7" t="s">
        <v>44</v>
      </c>
      <c r="H223" s="7" t="s">
        <v>45</v>
      </c>
      <c r="I223" s="7" t="s">
        <v>521</v>
      </c>
    </row>
    <row r="224" customFormat="false" ht="22.35" hidden="false" customHeight="false" outlineLevel="0" collapsed="false">
      <c r="A224" s="7" t="s">
        <v>625</v>
      </c>
      <c r="B224" s="7" t="s">
        <v>132</v>
      </c>
      <c r="C224" s="7" t="s">
        <v>40</v>
      </c>
      <c r="D224" s="7" t="s">
        <v>41</v>
      </c>
      <c r="E224" s="8" t="s">
        <v>626</v>
      </c>
      <c r="F224" s="9" t="s">
        <v>107</v>
      </c>
      <c r="G224" s="7" t="s">
        <v>44</v>
      </c>
      <c r="H224" s="7" t="s">
        <v>45</v>
      </c>
      <c r="I224" s="7" t="s">
        <v>368</v>
      </c>
    </row>
    <row r="225" customFormat="false" ht="22.35" hidden="false" customHeight="false" outlineLevel="0" collapsed="false">
      <c r="A225" s="7" t="s">
        <v>627</v>
      </c>
      <c r="B225" s="7" t="s">
        <v>39</v>
      </c>
      <c r="C225" s="7" t="s">
        <v>40</v>
      </c>
      <c r="D225" s="7" t="s">
        <v>56</v>
      </c>
      <c r="E225" s="8" t="s">
        <v>628</v>
      </c>
      <c r="F225" s="9" t="s">
        <v>107</v>
      </c>
      <c r="G225" s="7" t="s">
        <v>44</v>
      </c>
      <c r="H225" s="7" t="s">
        <v>45</v>
      </c>
      <c r="I225" s="7" t="s">
        <v>629</v>
      </c>
    </row>
    <row r="226" customFormat="false" ht="22.35" hidden="false" customHeight="false" outlineLevel="0" collapsed="false">
      <c r="A226" s="7" t="s">
        <v>630</v>
      </c>
      <c r="B226" s="7" t="s">
        <v>132</v>
      </c>
      <c r="C226" s="7" t="s">
        <v>63</v>
      </c>
      <c r="D226" s="7" t="s">
        <v>99</v>
      </c>
      <c r="E226" s="8" t="s">
        <v>631</v>
      </c>
      <c r="F226" s="9" t="s">
        <v>107</v>
      </c>
      <c r="G226" s="7" t="s">
        <v>139</v>
      </c>
      <c r="H226" s="7" t="s">
        <v>74</v>
      </c>
      <c r="I226" s="7" t="s">
        <v>108</v>
      </c>
    </row>
    <row r="227" customFormat="false" ht="22.35" hidden="false" customHeight="false" outlineLevel="0" collapsed="false">
      <c r="A227" s="7" t="s">
        <v>632</v>
      </c>
      <c r="B227" s="7" t="s">
        <v>95</v>
      </c>
      <c r="C227" s="7" t="s">
        <v>48</v>
      </c>
      <c r="D227" s="7" t="s">
        <v>49</v>
      </c>
      <c r="E227" s="8" t="s">
        <v>633</v>
      </c>
      <c r="F227" s="9" t="s">
        <v>43</v>
      </c>
      <c r="G227" s="7" t="s">
        <v>44</v>
      </c>
      <c r="H227" s="7" t="s">
        <v>45</v>
      </c>
      <c r="I227" s="7" t="s">
        <v>136</v>
      </c>
    </row>
    <row r="228" customFormat="false" ht="22.35" hidden="false" customHeight="false" outlineLevel="0" collapsed="false">
      <c r="A228" s="7" t="s">
        <v>634</v>
      </c>
      <c r="B228" s="7" t="s">
        <v>84</v>
      </c>
      <c r="C228" s="7" t="s">
        <v>63</v>
      </c>
      <c r="D228" s="7" t="s">
        <v>49</v>
      </c>
      <c r="E228" s="8" t="s">
        <v>635</v>
      </c>
      <c r="F228" s="9" t="s">
        <v>43</v>
      </c>
      <c r="G228" s="7" t="s">
        <v>44</v>
      </c>
      <c r="H228" s="7" t="s">
        <v>45</v>
      </c>
      <c r="I228" s="7" t="s">
        <v>125</v>
      </c>
    </row>
    <row r="229" customFormat="false" ht="22.35" hidden="false" customHeight="false" outlineLevel="0" collapsed="false">
      <c r="A229" s="7" t="s">
        <v>636</v>
      </c>
      <c r="B229" s="7" t="s">
        <v>77</v>
      </c>
      <c r="C229" s="7" t="s">
        <v>40</v>
      </c>
      <c r="D229" s="7" t="s">
        <v>49</v>
      </c>
      <c r="E229" s="8" t="s">
        <v>637</v>
      </c>
      <c r="F229" s="9" t="s">
        <v>43</v>
      </c>
      <c r="G229" s="7" t="s">
        <v>44</v>
      </c>
      <c r="H229" s="7" t="s">
        <v>45</v>
      </c>
      <c r="I229" s="7" t="s">
        <v>282</v>
      </c>
    </row>
    <row r="230" customFormat="false" ht="22.35" hidden="false" customHeight="false" outlineLevel="0" collapsed="false">
      <c r="A230" s="7" t="s">
        <v>638</v>
      </c>
      <c r="B230" s="7" t="s">
        <v>95</v>
      </c>
      <c r="C230" s="7" t="s">
        <v>55</v>
      </c>
      <c r="D230" s="7" t="s">
        <v>41</v>
      </c>
      <c r="E230" s="8" t="s">
        <v>639</v>
      </c>
      <c r="F230" s="9" t="s">
        <v>43</v>
      </c>
      <c r="G230" s="7" t="s">
        <v>69</v>
      </c>
      <c r="H230" s="7" t="s">
        <v>59</v>
      </c>
      <c r="I230" s="7" t="s">
        <v>602</v>
      </c>
    </row>
    <row r="231" customFormat="false" ht="22.35" hidden="false" customHeight="false" outlineLevel="0" collapsed="false">
      <c r="A231" s="7" t="s">
        <v>640</v>
      </c>
      <c r="B231" s="7" t="s">
        <v>132</v>
      </c>
      <c r="C231" s="7" t="s">
        <v>40</v>
      </c>
      <c r="D231" s="7" t="s">
        <v>91</v>
      </c>
      <c r="E231" s="8" t="s">
        <v>641</v>
      </c>
      <c r="F231" s="9" t="s">
        <v>43</v>
      </c>
      <c r="G231" s="7" t="s">
        <v>69</v>
      </c>
      <c r="H231" s="7" t="s">
        <v>59</v>
      </c>
      <c r="I231" s="7" t="s">
        <v>642</v>
      </c>
    </row>
    <row r="232" customFormat="false" ht="32.8" hidden="false" customHeight="false" outlineLevel="0" collapsed="false">
      <c r="A232" s="7" t="s">
        <v>643</v>
      </c>
      <c r="B232" s="7" t="s">
        <v>84</v>
      </c>
      <c r="C232" s="7" t="s">
        <v>40</v>
      </c>
      <c r="D232" s="7" t="s">
        <v>41</v>
      </c>
      <c r="E232" s="8" t="s">
        <v>644</v>
      </c>
      <c r="F232" s="9" t="s">
        <v>51</v>
      </c>
      <c r="G232" s="7" t="s">
        <v>73</v>
      </c>
      <c r="H232" s="7" t="s">
        <v>74</v>
      </c>
      <c r="I232" s="7" t="s">
        <v>311</v>
      </c>
    </row>
    <row r="233" customFormat="false" ht="15" hidden="false" customHeight="false" outlineLevel="0" collapsed="false">
      <c r="A233" s="7" t="s">
        <v>645</v>
      </c>
      <c r="B233" s="7" t="s">
        <v>95</v>
      </c>
      <c r="C233" s="7" t="s">
        <v>55</v>
      </c>
      <c r="D233" s="7" t="s">
        <v>41</v>
      </c>
      <c r="E233" s="8" t="s">
        <v>646</v>
      </c>
      <c r="F233" s="9" t="s">
        <v>51</v>
      </c>
      <c r="G233" s="7" t="s">
        <v>44</v>
      </c>
      <c r="H233" s="7" t="s">
        <v>45</v>
      </c>
      <c r="I233" s="7" t="s">
        <v>416</v>
      </c>
    </row>
    <row r="234" customFormat="false" ht="22.35" hidden="false" customHeight="false" outlineLevel="0" collapsed="false">
      <c r="A234" s="7" t="s">
        <v>647</v>
      </c>
      <c r="B234" s="7" t="s">
        <v>54</v>
      </c>
      <c r="C234" s="7" t="s">
        <v>55</v>
      </c>
      <c r="D234" s="7" t="s">
        <v>49</v>
      </c>
      <c r="E234" s="8" t="s">
        <v>648</v>
      </c>
      <c r="F234" s="9" t="s">
        <v>51</v>
      </c>
      <c r="G234" s="7" t="s">
        <v>44</v>
      </c>
      <c r="H234" s="7" t="s">
        <v>45</v>
      </c>
      <c r="I234" s="7" t="s">
        <v>125</v>
      </c>
    </row>
    <row r="235" customFormat="false" ht="15" hidden="false" customHeight="false" outlineLevel="0" collapsed="false">
      <c r="A235" s="7" t="s">
        <v>649</v>
      </c>
      <c r="B235" s="7" t="s">
        <v>67</v>
      </c>
      <c r="C235" s="7" t="s">
        <v>40</v>
      </c>
      <c r="D235" s="7" t="s">
        <v>41</v>
      </c>
      <c r="E235" s="8" t="s">
        <v>650</v>
      </c>
      <c r="F235" s="9" t="s">
        <v>51</v>
      </c>
      <c r="G235" s="7" t="s">
        <v>69</v>
      </c>
      <c r="H235" s="7" t="s">
        <v>59</v>
      </c>
      <c r="I235" s="7" t="s">
        <v>114</v>
      </c>
    </row>
    <row r="236" customFormat="false" ht="15" hidden="false" customHeight="false" outlineLevel="0" collapsed="false">
      <c r="A236" s="7" t="s">
        <v>651</v>
      </c>
      <c r="B236" s="7" t="s">
        <v>77</v>
      </c>
      <c r="C236" s="7" t="s">
        <v>55</v>
      </c>
      <c r="D236" s="7" t="s">
        <v>99</v>
      </c>
      <c r="E236" s="8" t="s">
        <v>652</v>
      </c>
      <c r="F236" s="9" t="s">
        <v>43</v>
      </c>
      <c r="G236" s="7" t="s">
        <v>44</v>
      </c>
      <c r="H236" s="7" t="s">
        <v>45</v>
      </c>
      <c r="I236" s="7" t="s">
        <v>175</v>
      </c>
    </row>
    <row r="237" customFormat="false" ht="15" hidden="false" customHeight="false" outlineLevel="0" collapsed="false">
      <c r="A237" s="7" t="s">
        <v>653</v>
      </c>
      <c r="B237" s="7" t="s">
        <v>62</v>
      </c>
      <c r="C237" s="7" t="s">
        <v>40</v>
      </c>
      <c r="D237" s="7" t="s">
        <v>91</v>
      </c>
      <c r="E237" s="8" t="s">
        <v>654</v>
      </c>
      <c r="F237" s="9" t="s">
        <v>107</v>
      </c>
      <c r="G237" s="7" t="s">
        <v>44</v>
      </c>
      <c r="H237" s="7" t="s">
        <v>45</v>
      </c>
      <c r="I237" s="7" t="s">
        <v>655</v>
      </c>
    </row>
    <row r="238" customFormat="false" ht="22.35" hidden="false" customHeight="false" outlineLevel="0" collapsed="false">
      <c r="A238" s="7" t="s">
        <v>656</v>
      </c>
      <c r="B238" s="7" t="s">
        <v>54</v>
      </c>
      <c r="C238" s="7" t="s">
        <v>40</v>
      </c>
      <c r="D238" s="7" t="s">
        <v>56</v>
      </c>
      <c r="E238" s="8" t="s">
        <v>657</v>
      </c>
      <c r="F238" s="9" t="s">
        <v>43</v>
      </c>
      <c r="G238" s="7" t="s">
        <v>69</v>
      </c>
      <c r="H238" s="7" t="s">
        <v>59</v>
      </c>
      <c r="I238" s="7" t="s">
        <v>658</v>
      </c>
    </row>
    <row r="239" customFormat="false" ht="22.35" hidden="false" customHeight="false" outlineLevel="0" collapsed="false">
      <c r="A239" s="7" t="s">
        <v>659</v>
      </c>
      <c r="B239" s="7" t="s">
        <v>132</v>
      </c>
      <c r="C239" s="7" t="s">
        <v>40</v>
      </c>
      <c r="D239" s="7" t="s">
        <v>99</v>
      </c>
      <c r="E239" s="8" t="s">
        <v>660</v>
      </c>
      <c r="F239" s="9" t="s">
        <v>51</v>
      </c>
      <c r="G239" s="7" t="s">
        <v>44</v>
      </c>
      <c r="H239" s="7" t="s">
        <v>45</v>
      </c>
      <c r="I239" s="7" t="s">
        <v>104</v>
      </c>
    </row>
    <row r="240" customFormat="false" ht="22.35" hidden="false" customHeight="false" outlineLevel="0" collapsed="false">
      <c r="A240" s="7" t="s">
        <v>661</v>
      </c>
      <c r="B240" s="7" t="s">
        <v>62</v>
      </c>
      <c r="C240" s="7" t="s">
        <v>48</v>
      </c>
      <c r="D240" s="7" t="s">
        <v>49</v>
      </c>
      <c r="E240" s="8" t="s">
        <v>662</v>
      </c>
      <c r="F240" s="9" t="s">
        <v>43</v>
      </c>
      <c r="G240" s="7" t="s">
        <v>44</v>
      </c>
      <c r="H240" s="7" t="s">
        <v>45</v>
      </c>
      <c r="I240" s="7" t="s">
        <v>136</v>
      </c>
    </row>
    <row r="241" customFormat="false" ht="15" hidden="false" customHeight="false" outlineLevel="0" collapsed="false">
      <c r="A241" s="7" t="s">
        <v>663</v>
      </c>
      <c r="B241" s="7" t="s">
        <v>67</v>
      </c>
      <c r="C241" s="7" t="s">
        <v>40</v>
      </c>
      <c r="D241" s="7" t="s">
        <v>49</v>
      </c>
      <c r="E241" s="8" t="s">
        <v>664</v>
      </c>
      <c r="F241" s="9" t="s">
        <v>43</v>
      </c>
      <c r="G241" s="7" t="s">
        <v>58</v>
      </c>
      <c r="H241" s="7" t="s">
        <v>59</v>
      </c>
      <c r="I241" s="7" t="s">
        <v>186</v>
      </c>
    </row>
    <row r="242" customFormat="false" ht="22.35" hidden="false" customHeight="false" outlineLevel="0" collapsed="false">
      <c r="A242" s="7" t="s">
        <v>665</v>
      </c>
      <c r="B242" s="7" t="s">
        <v>39</v>
      </c>
      <c r="C242" s="7" t="s">
        <v>63</v>
      </c>
      <c r="D242" s="7" t="s">
        <v>99</v>
      </c>
      <c r="E242" s="8" t="s">
        <v>666</v>
      </c>
      <c r="F242" s="9" t="s">
        <v>43</v>
      </c>
      <c r="G242" s="7" t="s">
        <v>44</v>
      </c>
      <c r="H242" s="7" t="s">
        <v>45</v>
      </c>
      <c r="I242" s="7" t="s">
        <v>122</v>
      </c>
    </row>
    <row r="243" customFormat="false" ht="22.35" hidden="false" customHeight="false" outlineLevel="0" collapsed="false">
      <c r="A243" s="7" t="s">
        <v>667</v>
      </c>
      <c r="B243" s="7" t="s">
        <v>54</v>
      </c>
      <c r="C243" s="7" t="s">
        <v>48</v>
      </c>
      <c r="D243" s="7" t="s">
        <v>99</v>
      </c>
      <c r="E243" s="8" t="s">
        <v>668</v>
      </c>
      <c r="F243" s="9" t="s">
        <v>107</v>
      </c>
      <c r="G243" s="7" t="s">
        <v>139</v>
      </c>
      <c r="H243" s="7" t="s">
        <v>74</v>
      </c>
      <c r="I243" s="7" t="s">
        <v>122</v>
      </c>
    </row>
    <row r="244" customFormat="false" ht="15" hidden="false" customHeight="false" outlineLevel="0" collapsed="false">
      <c r="A244" s="7" t="s">
        <v>669</v>
      </c>
      <c r="B244" s="7" t="s">
        <v>62</v>
      </c>
      <c r="C244" s="7" t="s">
        <v>48</v>
      </c>
      <c r="D244" s="7" t="s">
        <v>99</v>
      </c>
      <c r="E244" s="8" t="s">
        <v>670</v>
      </c>
      <c r="F244" s="9" t="s">
        <v>43</v>
      </c>
      <c r="G244" s="7" t="s">
        <v>58</v>
      </c>
      <c r="H244" s="7" t="s">
        <v>59</v>
      </c>
      <c r="I244" s="7" t="s">
        <v>101</v>
      </c>
    </row>
    <row r="245" customFormat="false" ht="22.35" hidden="false" customHeight="false" outlineLevel="0" collapsed="false">
      <c r="A245" s="7" t="s">
        <v>671</v>
      </c>
      <c r="B245" s="7" t="s">
        <v>54</v>
      </c>
      <c r="C245" s="7" t="s">
        <v>48</v>
      </c>
      <c r="D245" s="7" t="s">
        <v>49</v>
      </c>
      <c r="E245" s="8" t="s">
        <v>672</v>
      </c>
      <c r="F245" s="9" t="s">
        <v>43</v>
      </c>
      <c r="G245" s="7" t="s">
        <v>44</v>
      </c>
      <c r="H245" s="7" t="s">
        <v>45</v>
      </c>
      <c r="I245" s="7" t="s">
        <v>52</v>
      </c>
    </row>
    <row r="246" customFormat="false" ht="22.35" hidden="false" customHeight="false" outlineLevel="0" collapsed="false">
      <c r="A246" s="7" t="s">
        <v>673</v>
      </c>
      <c r="B246" s="7" t="s">
        <v>54</v>
      </c>
      <c r="C246" s="7" t="s">
        <v>40</v>
      </c>
      <c r="D246" s="7" t="s">
        <v>49</v>
      </c>
      <c r="E246" s="8" t="s">
        <v>674</v>
      </c>
      <c r="F246" s="9" t="s">
        <v>43</v>
      </c>
      <c r="G246" s="7" t="s">
        <v>69</v>
      </c>
      <c r="H246" s="7" t="s">
        <v>59</v>
      </c>
      <c r="I246" s="7" t="s">
        <v>282</v>
      </c>
    </row>
    <row r="247" customFormat="false" ht="22.35" hidden="false" customHeight="false" outlineLevel="0" collapsed="false">
      <c r="A247" s="7" t="s">
        <v>675</v>
      </c>
      <c r="B247" s="7" t="s">
        <v>67</v>
      </c>
      <c r="C247" s="7" t="s">
        <v>55</v>
      </c>
      <c r="D247" s="7" t="s">
        <v>56</v>
      </c>
      <c r="E247" s="8" t="s">
        <v>676</v>
      </c>
      <c r="F247" s="9" t="s">
        <v>43</v>
      </c>
      <c r="G247" s="7" t="s">
        <v>44</v>
      </c>
      <c r="H247" s="7" t="s">
        <v>45</v>
      </c>
      <c r="I247" s="7" t="s">
        <v>677</v>
      </c>
    </row>
    <row r="248" customFormat="false" ht="22.35" hidden="false" customHeight="false" outlineLevel="0" collapsed="false">
      <c r="A248" s="7" t="s">
        <v>678</v>
      </c>
      <c r="B248" s="7" t="s">
        <v>54</v>
      </c>
      <c r="C248" s="7" t="s">
        <v>48</v>
      </c>
      <c r="D248" s="7" t="s">
        <v>56</v>
      </c>
      <c r="E248" s="8" t="s">
        <v>679</v>
      </c>
      <c r="F248" s="9" t="s">
        <v>51</v>
      </c>
      <c r="G248" s="7" t="s">
        <v>69</v>
      </c>
      <c r="H248" s="7" t="s">
        <v>59</v>
      </c>
      <c r="I248" s="7" t="s">
        <v>680</v>
      </c>
    </row>
    <row r="249" customFormat="false" ht="15" hidden="false" customHeight="false" outlineLevel="0" collapsed="false">
      <c r="A249" s="7" t="s">
        <v>681</v>
      </c>
      <c r="B249" s="7" t="s">
        <v>39</v>
      </c>
      <c r="C249" s="7" t="s">
        <v>55</v>
      </c>
      <c r="D249" s="7" t="s">
        <v>49</v>
      </c>
      <c r="E249" s="8" t="s">
        <v>682</v>
      </c>
      <c r="F249" s="9" t="s">
        <v>51</v>
      </c>
      <c r="G249" s="7" t="s">
        <v>73</v>
      </c>
      <c r="H249" s="7" t="s">
        <v>74</v>
      </c>
      <c r="I249" s="7" t="s">
        <v>79</v>
      </c>
    </row>
    <row r="250" customFormat="false" ht="15" hidden="false" customHeight="false" outlineLevel="0" collapsed="false">
      <c r="A250" s="7" t="s">
        <v>683</v>
      </c>
      <c r="B250" s="7" t="s">
        <v>62</v>
      </c>
      <c r="C250" s="7" t="s">
        <v>48</v>
      </c>
      <c r="D250" s="7" t="s">
        <v>49</v>
      </c>
      <c r="E250" s="8" t="s">
        <v>684</v>
      </c>
      <c r="F250" s="9" t="s">
        <v>43</v>
      </c>
      <c r="G250" s="7" t="s">
        <v>58</v>
      </c>
      <c r="H250" s="7" t="s">
        <v>59</v>
      </c>
      <c r="I250" s="7" t="s">
        <v>79</v>
      </c>
    </row>
    <row r="251" customFormat="false" ht="22.35" hidden="false" customHeight="false" outlineLevel="0" collapsed="false">
      <c r="A251" s="7" t="s">
        <v>685</v>
      </c>
      <c r="B251" s="7" t="s">
        <v>62</v>
      </c>
      <c r="C251" s="7" t="s">
        <v>40</v>
      </c>
      <c r="D251" s="7" t="s">
        <v>56</v>
      </c>
      <c r="E251" s="8" t="s">
        <v>686</v>
      </c>
      <c r="F251" s="9" t="s">
        <v>43</v>
      </c>
      <c r="G251" s="7" t="s">
        <v>58</v>
      </c>
      <c r="H251" s="7" t="s">
        <v>59</v>
      </c>
      <c r="I251" s="7" t="s">
        <v>536</v>
      </c>
    </row>
    <row r="252" customFormat="false" ht="22.35" hidden="false" customHeight="false" outlineLevel="0" collapsed="false">
      <c r="A252" s="7" t="s">
        <v>687</v>
      </c>
      <c r="B252" s="7" t="s">
        <v>77</v>
      </c>
      <c r="C252" s="7" t="s">
        <v>48</v>
      </c>
      <c r="D252" s="7" t="s">
        <v>56</v>
      </c>
      <c r="E252" s="8" t="s">
        <v>688</v>
      </c>
      <c r="F252" s="9" t="s">
        <v>51</v>
      </c>
      <c r="G252" s="7" t="s">
        <v>44</v>
      </c>
      <c r="H252" s="7" t="s">
        <v>45</v>
      </c>
      <c r="I252" s="7" t="s">
        <v>689</v>
      </c>
    </row>
    <row r="253" customFormat="false" ht="22.35" hidden="false" customHeight="false" outlineLevel="0" collapsed="false">
      <c r="A253" s="7" t="s">
        <v>690</v>
      </c>
      <c r="B253" s="7" t="s">
        <v>84</v>
      </c>
      <c r="C253" s="7" t="s">
        <v>63</v>
      </c>
      <c r="D253" s="7" t="s">
        <v>49</v>
      </c>
      <c r="E253" s="8" t="s">
        <v>691</v>
      </c>
      <c r="F253" s="9" t="s">
        <v>51</v>
      </c>
      <c r="G253" s="7" t="s">
        <v>73</v>
      </c>
      <c r="H253" s="7" t="s">
        <v>74</v>
      </c>
      <c r="I253" s="7" t="s">
        <v>79</v>
      </c>
    </row>
    <row r="254" customFormat="false" ht="22.35" hidden="false" customHeight="false" outlineLevel="0" collapsed="false">
      <c r="A254" s="7" t="s">
        <v>692</v>
      </c>
      <c r="B254" s="7" t="s">
        <v>62</v>
      </c>
      <c r="C254" s="7" t="s">
        <v>40</v>
      </c>
      <c r="D254" s="7" t="s">
        <v>41</v>
      </c>
      <c r="E254" s="8" t="s">
        <v>693</v>
      </c>
      <c r="F254" s="9" t="s">
        <v>107</v>
      </c>
      <c r="G254" s="7" t="s">
        <v>139</v>
      </c>
      <c r="H254" s="7" t="s">
        <v>74</v>
      </c>
      <c r="I254" s="7" t="s">
        <v>441</v>
      </c>
    </row>
    <row r="255" customFormat="false" ht="22.35" hidden="false" customHeight="false" outlineLevel="0" collapsed="false">
      <c r="A255" s="7" t="s">
        <v>694</v>
      </c>
      <c r="B255" s="7" t="s">
        <v>39</v>
      </c>
      <c r="C255" s="7" t="s">
        <v>40</v>
      </c>
      <c r="D255" s="7" t="s">
        <v>49</v>
      </c>
      <c r="E255" s="8" t="s">
        <v>695</v>
      </c>
      <c r="F255" s="9" t="s">
        <v>51</v>
      </c>
      <c r="G255" s="7" t="s">
        <v>58</v>
      </c>
      <c r="H255" s="7" t="s">
        <v>59</v>
      </c>
      <c r="I255" s="7" t="s">
        <v>52</v>
      </c>
    </row>
    <row r="256" customFormat="false" ht="22.35" hidden="false" customHeight="false" outlineLevel="0" collapsed="false">
      <c r="A256" s="7" t="s">
        <v>696</v>
      </c>
      <c r="B256" s="7" t="s">
        <v>95</v>
      </c>
      <c r="C256" s="7" t="s">
        <v>40</v>
      </c>
      <c r="D256" s="7" t="s">
        <v>49</v>
      </c>
      <c r="E256" s="8" t="s">
        <v>697</v>
      </c>
      <c r="F256" s="9" t="s">
        <v>43</v>
      </c>
      <c r="G256" s="7" t="s">
        <v>58</v>
      </c>
      <c r="H256" s="7" t="s">
        <v>59</v>
      </c>
      <c r="I256" s="7" t="s">
        <v>136</v>
      </c>
    </row>
    <row r="257" customFormat="false" ht="22.35" hidden="false" customHeight="false" outlineLevel="0" collapsed="false">
      <c r="A257" s="7" t="s">
        <v>698</v>
      </c>
      <c r="B257" s="7" t="s">
        <v>67</v>
      </c>
      <c r="C257" s="7" t="s">
        <v>48</v>
      </c>
      <c r="D257" s="7" t="s">
        <v>49</v>
      </c>
      <c r="E257" s="8" t="s">
        <v>699</v>
      </c>
      <c r="F257" s="9" t="s">
        <v>51</v>
      </c>
      <c r="G257" s="7" t="s">
        <v>73</v>
      </c>
      <c r="H257" s="7" t="s">
        <v>74</v>
      </c>
      <c r="I257" s="7" t="s">
        <v>136</v>
      </c>
    </row>
    <row r="258" customFormat="false" ht="22.35" hidden="false" customHeight="false" outlineLevel="0" collapsed="false">
      <c r="A258" s="7" t="s">
        <v>700</v>
      </c>
      <c r="B258" s="7" t="s">
        <v>77</v>
      </c>
      <c r="C258" s="7" t="s">
        <v>63</v>
      </c>
      <c r="D258" s="7" t="s">
        <v>99</v>
      </c>
      <c r="E258" s="8" t="s">
        <v>701</v>
      </c>
      <c r="F258" s="9" t="s">
        <v>51</v>
      </c>
      <c r="G258" s="7" t="s">
        <v>58</v>
      </c>
      <c r="H258" s="7" t="s">
        <v>59</v>
      </c>
      <c r="I258" s="7" t="s">
        <v>101</v>
      </c>
    </row>
    <row r="259" customFormat="false" ht="22.35" hidden="false" customHeight="false" outlineLevel="0" collapsed="false">
      <c r="A259" s="7" t="s">
        <v>702</v>
      </c>
      <c r="B259" s="7" t="s">
        <v>67</v>
      </c>
      <c r="C259" s="7" t="s">
        <v>55</v>
      </c>
      <c r="D259" s="7" t="s">
        <v>56</v>
      </c>
      <c r="E259" s="8" t="s">
        <v>703</v>
      </c>
      <c r="F259" s="9" t="s">
        <v>51</v>
      </c>
      <c r="G259" s="7" t="s">
        <v>58</v>
      </c>
      <c r="H259" s="7" t="s">
        <v>59</v>
      </c>
      <c r="I259" s="7" t="s">
        <v>704</v>
      </c>
    </row>
    <row r="260" customFormat="false" ht="22.35" hidden="false" customHeight="false" outlineLevel="0" collapsed="false">
      <c r="A260" s="7" t="s">
        <v>705</v>
      </c>
      <c r="B260" s="7" t="s">
        <v>39</v>
      </c>
      <c r="C260" s="7" t="s">
        <v>48</v>
      </c>
      <c r="D260" s="7" t="s">
        <v>56</v>
      </c>
      <c r="E260" s="8" t="s">
        <v>706</v>
      </c>
      <c r="F260" s="9" t="s">
        <v>107</v>
      </c>
      <c r="G260" s="7" t="s">
        <v>73</v>
      </c>
      <c r="H260" s="7" t="s">
        <v>74</v>
      </c>
      <c r="I260" s="7" t="s">
        <v>409</v>
      </c>
    </row>
    <row r="261" customFormat="false" ht="22.35" hidden="false" customHeight="false" outlineLevel="0" collapsed="false">
      <c r="A261" s="7" t="s">
        <v>707</v>
      </c>
      <c r="B261" s="7" t="s">
        <v>67</v>
      </c>
      <c r="C261" s="7" t="s">
        <v>63</v>
      </c>
      <c r="D261" s="7" t="s">
        <v>49</v>
      </c>
      <c r="E261" s="8" t="s">
        <v>708</v>
      </c>
      <c r="F261" s="9" t="s">
        <v>43</v>
      </c>
      <c r="G261" s="7" t="s">
        <v>58</v>
      </c>
      <c r="H261" s="7" t="s">
        <v>59</v>
      </c>
      <c r="I261" s="7" t="s">
        <v>282</v>
      </c>
    </row>
    <row r="262" customFormat="false" ht="22.35" hidden="false" customHeight="false" outlineLevel="0" collapsed="false">
      <c r="A262" s="7" t="s">
        <v>709</v>
      </c>
      <c r="B262" s="7" t="s">
        <v>67</v>
      </c>
      <c r="C262" s="7" t="s">
        <v>63</v>
      </c>
      <c r="D262" s="7" t="s">
        <v>41</v>
      </c>
      <c r="E262" s="8" t="s">
        <v>710</v>
      </c>
      <c r="F262" s="9" t="s">
        <v>51</v>
      </c>
      <c r="G262" s="7" t="s">
        <v>73</v>
      </c>
      <c r="H262" s="7" t="s">
        <v>74</v>
      </c>
      <c r="I262" s="7" t="s">
        <v>711</v>
      </c>
    </row>
    <row r="263" customFormat="false" ht="22.35" hidden="false" customHeight="false" outlineLevel="0" collapsed="false">
      <c r="A263" s="7" t="s">
        <v>712</v>
      </c>
      <c r="B263" s="7" t="s">
        <v>67</v>
      </c>
      <c r="C263" s="7" t="s">
        <v>55</v>
      </c>
      <c r="D263" s="7" t="s">
        <v>41</v>
      </c>
      <c r="E263" s="8" t="s">
        <v>713</v>
      </c>
      <c r="F263" s="9" t="s">
        <v>43</v>
      </c>
      <c r="G263" s="7" t="s">
        <v>69</v>
      </c>
      <c r="H263" s="7" t="s">
        <v>59</v>
      </c>
      <c r="I263" s="7" t="s">
        <v>267</v>
      </c>
    </row>
    <row r="264" customFormat="false" ht="15" hidden="false" customHeight="false" outlineLevel="0" collapsed="false">
      <c r="A264" s="7" t="s">
        <v>714</v>
      </c>
      <c r="B264" s="7" t="s">
        <v>132</v>
      </c>
      <c r="C264" s="7" t="s">
        <v>55</v>
      </c>
      <c r="D264" s="7" t="s">
        <v>49</v>
      </c>
      <c r="E264" s="8" t="s">
        <v>715</v>
      </c>
      <c r="F264" s="9" t="s">
        <v>43</v>
      </c>
      <c r="G264" s="7" t="s">
        <v>58</v>
      </c>
      <c r="H264" s="7" t="s">
        <v>59</v>
      </c>
      <c r="I264" s="7" t="s">
        <v>136</v>
      </c>
    </row>
    <row r="265" customFormat="false" ht="22.35" hidden="false" customHeight="false" outlineLevel="0" collapsed="false">
      <c r="A265" s="7" t="s">
        <v>716</v>
      </c>
      <c r="B265" s="7" t="s">
        <v>62</v>
      </c>
      <c r="C265" s="7" t="s">
        <v>63</v>
      </c>
      <c r="D265" s="7" t="s">
        <v>91</v>
      </c>
      <c r="E265" s="8" t="s">
        <v>717</v>
      </c>
      <c r="F265" s="9" t="s">
        <v>107</v>
      </c>
      <c r="G265" s="7" t="s">
        <v>139</v>
      </c>
      <c r="H265" s="7" t="s">
        <v>74</v>
      </c>
      <c r="I265" s="7" t="s">
        <v>718</v>
      </c>
    </row>
    <row r="266" customFormat="false" ht="22.35" hidden="false" customHeight="false" outlineLevel="0" collapsed="false">
      <c r="A266" s="7" t="s">
        <v>719</v>
      </c>
      <c r="B266" s="7" t="s">
        <v>77</v>
      </c>
      <c r="C266" s="7" t="s">
        <v>63</v>
      </c>
      <c r="D266" s="7" t="s">
        <v>99</v>
      </c>
      <c r="E266" s="8" t="s">
        <v>720</v>
      </c>
      <c r="F266" s="9" t="s">
        <v>43</v>
      </c>
      <c r="G266" s="7" t="s">
        <v>44</v>
      </c>
      <c r="H266" s="7" t="s">
        <v>45</v>
      </c>
      <c r="I266" s="7" t="s">
        <v>108</v>
      </c>
    </row>
    <row r="267" customFormat="false" ht="22.35" hidden="false" customHeight="false" outlineLevel="0" collapsed="false">
      <c r="A267" s="7" t="s">
        <v>721</v>
      </c>
      <c r="B267" s="7" t="s">
        <v>39</v>
      </c>
      <c r="C267" s="7" t="s">
        <v>40</v>
      </c>
      <c r="D267" s="7" t="s">
        <v>41</v>
      </c>
      <c r="E267" s="8" t="s">
        <v>722</v>
      </c>
      <c r="F267" s="9" t="s">
        <v>43</v>
      </c>
      <c r="G267" s="7" t="s">
        <v>58</v>
      </c>
      <c r="H267" s="7" t="s">
        <v>59</v>
      </c>
      <c r="I267" s="7" t="s">
        <v>279</v>
      </c>
    </row>
    <row r="268" customFormat="false" ht="22.35" hidden="false" customHeight="false" outlineLevel="0" collapsed="false">
      <c r="A268" s="7" t="s">
        <v>723</v>
      </c>
      <c r="B268" s="7" t="s">
        <v>77</v>
      </c>
      <c r="C268" s="7" t="s">
        <v>63</v>
      </c>
      <c r="D268" s="7" t="s">
        <v>49</v>
      </c>
      <c r="E268" s="8" t="s">
        <v>724</v>
      </c>
      <c r="F268" s="9" t="s">
        <v>43</v>
      </c>
      <c r="G268" s="7" t="s">
        <v>69</v>
      </c>
      <c r="H268" s="7" t="s">
        <v>59</v>
      </c>
      <c r="I268" s="7" t="s">
        <v>79</v>
      </c>
    </row>
    <row r="269" customFormat="false" ht="15" hidden="false" customHeight="false" outlineLevel="0" collapsed="false">
      <c r="A269" s="7" t="s">
        <v>725</v>
      </c>
      <c r="B269" s="7" t="s">
        <v>39</v>
      </c>
      <c r="C269" s="7" t="s">
        <v>40</v>
      </c>
      <c r="D269" s="7" t="s">
        <v>49</v>
      </c>
      <c r="E269" s="8" t="s">
        <v>726</v>
      </c>
      <c r="F269" s="9" t="s">
        <v>43</v>
      </c>
      <c r="G269" s="7" t="s">
        <v>44</v>
      </c>
      <c r="H269" s="7" t="s">
        <v>45</v>
      </c>
      <c r="I269" s="7" t="s">
        <v>52</v>
      </c>
    </row>
    <row r="270" customFormat="false" ht="22.35" hidden="false" customHeight="false" outlineLevel="0" collapsed="false">
      <c r="A270" s="7" t="s">
        <v>727</v>
      </c>
      <c r="B270" s="7" t="s">
        <v>67</v>
      </c>
      <c r="C270" s="7" t="s">
        <v>48</v>
      </c>
      <c r="D270" s="7" t="s">
        <v>41</v>
      </c>
      <c r="E270" s="8" t="s">
        <v>728</v>
      </c>
      <c r="F270" s="9" t="s">
        <v>51</v>
      </c>
      <c r="G270" s="7" t="s">
        <v>73</v>
      </c>
      <c r="H270" s="7" t="s">
        <v>74</v>
      </c>
      <c r="I270" s="7" t="s">
        <v>172</v>
      </c>
    </row>
    <row r="271" customFormat="false" ht="22.35" hidden="false" customHeight="false" outlineLevel="0" collapsed="false">
      <c r="A271" s="7" t="s">
        <v>729</v>
      </c>
      <c r="B271" s="7" t="s">
        <v>39</v>
      </c>
      <c r="C271" s="7" t="s">
        <v>55</v>
      </c>
      <c r="D271" s="7" t="s">
        <v>99</v>
      </c>
      <c r="E271" s="8" t="s">
        <v>730</v>
      </c>
      <c r="F271" s="9" t="s">
        <v>43</v>
      </c>
      <c r="G271" s="7" t="s">
        <v>73</v>
      </c>
      <c r="H271" s="7" t="s">
        <v>74</v>
      </c>
      <c r="I271" s="7" t="s">
        <v>104</v>
      </c>
    </row>
    <row r="272" customFormat="false" ht="22.35" hidden="false" customHeight="false" outlineLevel="0" collapsed="false">
      <c r="A272" s="7" t="s">
        <v>731</v>
      </c>
      <c r="B272" s="7" t="s">
        <v>54</v>
      </c>
      <c r="C272" s="7" t="s">
        <v>55</v>
      </c>
      <c r="D272" s="7" t="s">
        <v>41</v>
      </c>
      <c r="E272" s="8" t="s">
        <v>732</v>
      </c>
      <c r="F272" s="9" t="s">
        <v>107</v>
      </c>
      <c r="G272" s="7" t="s">
        <v>139</v>
      </c>
      <c r="H272" s="7" t="s">
        <v>74</v>
      </c>
      <c r="I272" s="7" t="s">
        <v>172</v>
      </c>
    </row>
    <row r="273" customFormat="false" ht="22.35" hidden="false" customHeight="false" outlineLevel="0" collapsed="false">
      <c r="A273" s="7" t="s">
        <v>733</v>
      </c>
      <c r="B273" s="7" t="s">
        <v>132</v>
      </c>
      <c r="C273" s="7" t="s">
        <v>55</v>
      </c>
      <c r="D273" s="7" t="s">
        <v>49</v>
      </c>
      <c r="E273" s="8" t="s">
        <v>734</v>
      </c>
      <c r="F273" s="9" t="s">
        <v>51</v>
      </c>
      <c r="G273" s="7" t="s">
        <v>44</v>
      </c>
      <c r="H273" s="7" t="s">
        <v>45</v>
      </c>
      <c r="I273" s="7" t="s">
        <v>282</v>
      </c>
    </row>
    <row r="274" customFormat="false" ht="22.35" hidden="false" customHeight="false" outlineLevel="0" collapsed="false">
      <c r="A274" s="7" t="s">
        <v>735</v>
      </c>
      <c r="B274" s="7" t="s">
        <v>77</v>
      </c>
      <c r="C274" s="7" t="s">
        <v>63</v>
      </c>
      <c r="D274" s="7" t="s">
        <v>91</v>
      </c>
      <c r="E274" s="8" t="s">
        <v>736</v>
      </c>
      <c r="F274" s="9" t="s">
        <v>43</v>
      </c>
      <c r="G274" s="7" t="s">
        <v>69</v>
      </c>
      <c r="H274" s="7" t="s">
        <v>59</v>
      </c>
      <c r="I274" s="7" t="s">
        <v>737</v>
      </c>
    </row>
    <row r="275" customFormat="false" ht="22.35" hidden="false" customHeight="false" outlineLevel="0" collapsed="false">
      <c r="A275" s="7" t="s">
        <v>738</v>
      </c>
      <c r="B275" s="7" t="s">
        <v>67</v>
      </c>
      <c r="C275" s="7" t="s">
        <v>63</v>
      </c>
      <c r="D275" s="7" t="s">
        <v>41</v>
      </c>
      <c r="E275" s="8" t="s">
        <v>739</v>
      </c>
      <c r="F275" s="9" t="s">
        <v>43</v>
      </c>
      <c r="G275" s="7" t="s">
        <v>44</v>
      </c>
      <c r="H275" s="7" t="s">
        <v>45</v>
      </c>
      <c r="I275" s="7" t="s">
        <v>172</v>
      </c>
    </row>
    <row r="276" customFormat="false" ht="22.35" hidden="false" customHeight="false" outlineLevel="0" collapsed="false">
      <c r="A276" s="7" t="s">
        <v>740</v>
      </c>
      <c r="B276" s="7" t="s">
        <v>77</v>
      </c>
      <c r="C276" s="7" t="s">
        <v>40</v>
      </c>
      <c r="D276" s="7" t="s">
        <v>56</v>
      </c>
      <c r="E276" s="8" t="s">
        <v>741</v>
      </c>
      <c r="F276" s="9" t="s">
        <v>43</v>
      </c>
      <c r="G276" s="7" t="s">
        <v>58</v>
      </c>
      <c r="H276" s="7" t="s">
        <v>59</v>
      </c>
      <c r="I276" s="7" t="s">
        <v>742</v>
      </c>
    </row>
    <row r="277" customFormat="false" ht="15" hidden="false" customHeight="false" outlineLevel="0" collapsed="false">
      <c r="A277" s="7" t="s">
        <v>743</v>
      </c>
      <c r="B277" s="7" t="s">
        <v>84</v>
      </c>
      <c r="C277" s="7" t="s">
        <v>48</v>
      </c>
      <c r="D277" s="7" t="s">
        <v>91</v>
      </c>
      <c r="E277" s="8" t="s">
        <v>744</v>
      </c>
      <c r="F277" s="9" t="s">
        <v>51</v>
      </c>
      <c r="G277" s="7" t="s">
        <v>69</v>
      </c>
      <c r="H277" s="7" t="s">
        <v>59</v>
      </c>
      <c r="I277" s="7" t="s">
        <v>745</v>
      </c>
    </row>
    <row r="278" customFormat="false" ht="22.35" hidden="false" customHeight="false" outlineLevel="0" collapsed="false">
      <c r="A278" s="7" t="s">
        <v>746</v>
      </c>
      <c r="B278" s="7" t="s">
        <v>84</v>
      </c>
      <c r="C278" s="7" t="s">
        <v>48</v>
      </c>
      <c r="D278" s="7" t="s">
        <v>49</v>
      </c>
      <c r="E278" s="8" t="s">
        <v>747</v>
      </c>
      <c r="F278" s="9" t="s">
        <v>51</v>
      </c>
      <c r="G278" s="7" t="s">
        <v>73</v>
      </c>
      <c r="H278" s="7" t="s">
        <v>74</v>
      </c>
      <c r="I278" s="7" t="s">
        <v>52</v>
      </c>
    </row>
    <row r="279" customFormat="false" ht="22.35" hidden="false" customHeight="false" outlineLevel="0" collapsed="false">
      <c r="A279" s="7" t="s">
        <v>748</v>
      </c>
      <c r="B279" s="7" t="s">
        <v>132</v>
      </c>
      <c r="C279" s="7" t="s">
        <v>55</v>
      </c>
      <c r="D279" s="7" t="s">
        <v>99</v>
      </c>
      <c r="E279" s="8" t="s">
        <v>749</v>
      </c>
      <c r="F279" s="9" t="s">
        <v>43</v>
      </c>
      <c r="G279" s="7" t="s">
        <v>44</v>
      </c>
      <c r="H279" s="7" t="s">
        <v>45</v>
      </c>
      <c r="I279" s="7" t="s">
        <v>169</v>
      </c>
    </row>
    <row r="280" customFormat="false" ht="22.35" hidden="false" customHeight="false" outlineLevel="0" collapsed="false">
      <c r="A280" s="7" t="s">
        <v>750</v>
      </c>
      <c r="B280" s="7" t="s">
        <v>95</v>
      </c>
      <c r="C280" s="7" t="s">
        <v>40</v>
      </c>
      <c r="D280" s="7" t="s">
        <v>49</v>
      </c>
      <c r="E280" s="8" t="s">
        <v>751</v>
      </c>
      <c r="F280" s="9" t="s">
        <v>51</v>
      </c>
      <c r="G280" s="7" t="s">
        <v>73</v>
      </c>
      <c r="H280" s="7" t="s">
        <v>74</v>
      </c>
      <c r="I280" s="7" t="s">
        <v>282</v>
      </c>
    </row>
    <row r="281" customFormat="false" ht="22.35" hidden="false" customHeight="false" outlineLevel="0" collapsed="false">
      <c r="A281" s="7" t="s">
        <v>752</v>
      </c>
      <c r="B281" s="7" t="s">
        <v>77</v>
      </c>
      <c r="C281" s="7" t="s">
        <v>55</v>
      </c>
      <c r="D281" s="7" t="s">
        <v>49</v>
      </c>
      <c r="E281" s="8" t="s">
        <v>753</v>
      </c>
      <c r="F281" s="9" t="s">
        <v>43</v>
      </c>
      <c r="G281" s="7" t="s">
        <v>58</v>
      </c>
      <c r="H281" s="7" t="s">
        <v>59</v>
      </c>
      <c r="I281" s="7" t="s">
        <v>52</v>
      </c>
    </row>
    <row r="282" customFormat="false" ht="15" hidden="false" customHeight="false" outlineLevel="0" collapsed="false">
      <c r="A282" s="7" t="s">
        <v>754</v>
      </c>
      <c r="B282" s="7" t="s">
        <v>84</v>
      </c>
      <c r="C282" s="7" t="s">
        <v>63</v>
      </c>
      <c r="D282" s="7" t="s">
        <v>91</v>
      </c>
      <c r="E282" s="8" t="s">
        <v>755</v>
      </c>
      <c r="F282" s="9" t="s">
        <v>51</v>
      </c>
      <c r="G282" s="7" t="s">
        <v>44</v>
      </c>
      <c r="H282" s="7" t="s">
        <v>45</v>
      </c>
      <c r="I282" s="7" t="s">
        <v>326</v>
      </c>
    </row>
    <row r="283" customFormat="false" ht="22.35" hidden="false" customHeight="false" outlineLevel="0" collapsed="false">
      <c r="A283" s="7" t="s">
        <v>756</v>
      </c>
      <c r="B283" s="7" t="s">
        <v>54</v>
      </c>
      <c r="C283" s="7" t="s">
        <v>55</v>
      </c>
      <c r="D283" s="7" t="s">
        <v>91</v>
      </c>
      <c r="E283" s="8" t="s">
        <v>757</v>
      </c>
      <c r="F283" s="9" t="s">
        <v>51</v>
      </c>
      <c r="G283" s="7" t="s">
        <v>44</v>
      </c>
      <c r="H283" s="7" t="s">
        <v>45</v>
      </c>
      <c r="I283" s="7" t="s">
        <v>758</v>
      </c>
    </row>
    <row r="284" customFormat="false" ht="15" hidden="false" customHeight="false" outlineLevel="0" collapsed="false">
      <c r="A284" s="7" t="s">
        <v>759</v>
      </c>
      <c r="B284" s="7" t="s">
        <v>54</v>
      </c>
      <c r="C284" s="7" t="s">
        <v>40</v>
      </c>
      <c r="D284" s="7" t="s">
        <v>49</v>
      </c>
      <c r="E284" s="8" t="s">
        <v>760</v>
      </c>
      <c r="F284" s="9" t="s">
        <v>43</v>
      </c>
      <c r="G284" s="7" t="s">
        <v>58</v>
      </c>
      <c r="H284" s="7" t="s">
        <v>59</v>
      </c>
      <c r="I284" s="7" t="s">
        <v>282</v>
      </c>
    </row>
    <row r="285" customFormat="false" ht="15" hidden="false" customHeight="false" outlineLevel="0" collapsed="false">
      <c r="A285" s="7" t="s">
        <v>761</v>
      </c>
      <c r="B285" s="7" t="s">
        <v>132</v>
      </c>
      <c r="C285" s="7" t="s">
        <v>63</v>
      </c>
      <c r="D285" s="7" t="s">
        <v>99</v>
      </c>
      <c r="E285" s="8" t="s">
        <v>762</v>
      </c>
      <c r="F285" s="9" t="s">
        <v>51</v>
      </c>
      <c r="G285" s="7" t="s">
        <v>44</v>
      </c>
      <c r="H285" s="7" t="s">
        <v>45</v>
      </c>
      <c r="I285" s="7" t="s">
        <v>104</v>
      </c>
    </row>
    <row r="286" customFormat="false" ht="22.35" hidden="false" customHeight="false" outlineLevel="0" collapsed="false">
      <c r="A286" s="7" t="s">
        <v>763</v>
      </c>
      <c r="B286" s="7" t="s">
        <v>54</v>
      </c>
      <c r="C286" s="7" t="s">
        <v>55</v>
      </c>
      <c r="D286" s="7" t="s">
        <v>91</v>
      </c>
      <c r="E286" s="8" t="s">
        <v>764</v>
      </c>
      <c r="F286" s="9" t="s">
        <v>51</v>
      </c>
      <c r="G286" s="7" t="s">
        <v>44</v>
      </c>
      <c r="H286" s="7" t="s">
        <v>45</v>
      </c>
      <c r="I286" s="7" t="s">
        <v>765</v>
      </c>
    </row>
    <row r="287" customFormat="false" ht="22.35" hidden="false" customHeight="false" outlineLevel="0" collapsed="false">
      <c r="A287" s="7" t="s">
        <v>766</v>
      </c>
      <c r="B287" s="7" t="s">
        <v>54</v>
      </c>
      <c r="C287" s="7" t="s">
        <v>40</v>
      </c>
      <c r="D287" s="7" t="s">
        <v>91</v>
      </c>
      <c r="E287" s="8" t="s">
        <v>767</v>
      </c>
      <c r="F287" s="9" t="s">
        <v>107</v>
      </c>
      <c r="G287" s="7" t="s">
        <v>44</v>
      </c>
      <c r="H287" s="7" t="s">
        <v>45</v>
      </c>
      <c r="I287" s="7" t="s">
        <v>768</v>
      </c>
    </row>
    <row r="288" customFormat="false" ht="15" hidden="false" customHeight="false" outlineLevel="0" collapsed="false">
      <c r="A288" s="7" t="s">
        <v>769</v>
      </c>
      <c r="B288" s="7" t="s">
        <v>54</v>
      </c>
      <c r="C288" s="7" t="s">
        <v>63</v>
      </c>
      <c r="D288" s="7" t="s">
        <v>91</v>
      </c>
      <c r="E288" s="8" t="s">
        <v>770</v>
      </c>
      <c r="F288" s="9" t="s">
        <v>107</v>
      </c>
      <c r="G288" s="7" t="s">
        <v>44</v>
      </c>
      <c r="H288" s="7" t="s">
        <v>45</v>
      </c>
      <c r="I288" s="7" t="s">
        <v>771</v>
      </c>
    </row>
    <row r="289" customFormat="false" ht="22.35" hidden="false" customHeight="false" outlineLevel="0" collapsed="false">
      <c r="A289" s="7" t="s">
        <v>772</v>
      </c>
      <c r="B289" s="7" t="s">
        <v>77</v>
      </c>
      <c r="C289" s="7" t="s">
        <v>55</v>
      </c>
      <c r="D289" s="7" t="s">
        <v>99</v>
      </c>
      <c r="E289" s="8" t="s">
        <v>773</v>
      </c>
      <c r="F289" s="9" t="s">
        <v>43</v>
      </c>
      <c r="G289" s="7" t="s">
        <v>44</v>
      </c>
      <c r="H289" s="7" t="s">
        <v>45</v>
      </c>
      <c r="I289" s="7" t="s">
        <v>175</v>
      </c>
    </row>
    <row r="290" customFormat="false" ht="15" hidden="false" customHeight="false" outlineLevel="0" collapsed="false">
      <c r="A290" s="7" t="s">
        <v>774</v>
      </c>
      <c r="B290" s="7" t="s">
        <v>62</v>
      </c>
      <c r="C290" s="7" t="s">
        <v>48</v>
      </c>
      <c r="D290" s="7" t="s">
        <v>49</v>
      </c>
      <c r="E290" s="8" t="s">
        <v>775</v>
      </c>
      <c r="F290" s="9" t="s">
        <v>51</v>
      </c>
      <c r="G290" s="7" t="s">
        <v>44</v>
      </c>
      <c r="H290" s="7" t="s">
        <v>45</v>
      </c>
      <c r="I290" s="7" t="s">
        <v>79</v>
      </c>
    </row>
    <row r="291" customFormat="false" ht="22.35" hidden="false" customHeight="false" outlineLevel="0" collapsed="false">
      <c r="A291" s="7" t="s">
        <v>776</v>
      </c>
      <c r="B291" s="7" t="s">
        <v>95</v>
      </c>
      <c r="C291" s="7" t="s">
        <v>63</v>
      </c>
      <c r="D291" s="7" t="s">
        <v>91</v>
      </c>
      <c r="E291" s="8" t="s">
        <v>777</v>
      </c>
      <c r="F291" s="9" t="s">
        <v>51</v>
      </c>
      <c r="G291" s="7" t="s">
        <v>69</v>
      </c>
      <c r="H291" s="7" t="s">
        <v>59</v>
      </c>
      <c r="I291" s="7" t="s">
        <v>778</v>
      </c>
    </row>
    <row r="292" customFormat="false" ht="15" hidden="false" customHeight="false" outlineLevel="0" collapsed="false">
      <c r="A292" s="7" t="s">
        <v>779</v>
      </c>
      <c r="B292" s="7" t="s">
        <v>39</v>
      </c>
      <c r="C292" s="7" t="s">
        <v>55</v>
      </c>
      <c r="D292" s="7" t="s">
        <v>99</v>
      </c>
      <c r="E292" s="8" t="s">
        <v>780</v>
      </c>
      <c r="F292" s="9" t="s">
        <v>51</v>
      </c>
      <c r="G292" s="7" t="s">
        <v>58</v>
      </c>
      <c r="H292" s="7" t="s">
        <v>59</v>
      </c>
      <c r="I292" s="7" t="s">
        <v>101</v>
      </c>
    </row>
    <row r="293" customFormat="false" ht="22.35" hidden="false" customHeight="false" outlineLevel="0" collapsed="false">
      <c r="A293" s="7" t="s">
        <v>781</v>
      </c>
      <c r="B293" s="7" t="s">
        <v>67</v>
      </c>
      <c r="C293" s="7" t="s">
        <v>48</v>
      </c>
      <c r="D293" s="7" t="s">
        <v>56</v>
      </c>
      <c r="E293" s="8" t="s">
        <v>782</v>
      </c>
      <c r="F293" s="9" t="s">
        <v>43</v>
      </c>
      <c r="G293" s="7" t="s">
        <v>44</v>
      </c>
      <c r="H293" s="7" t="s">
        <v>45</v>
      </c>
      <c r="I293" s="7" t="s">
        <v>783</v>
      </c>
    </row>
    <row r="294" customFormat="false" ht="22.35" hidden="false" customHeight="false" outlineLevel="0" collapsed="false">
      <c r="A294" s="7" t="s">
        <v>784</v>
      </c>
      <c r="B294" s="7" t="s">
        <v>62</v>
      </c>
      <c r="C294" s="7" t="s">
        <v>40</v>
      </c>
      <c r="D294" s="7" t="s">
        <v>99</v>
      </c>
      <c r="E294" s="8" t="s">
        <v>785</v>
      </c>
      <c r="F294" s="9" t="s">
        <v>43</v>
      </c>
      <c r="G294" s="7" t="s">
        <v>73</v>
      </c>
      <c r="H294" s="7" t="s">
        <v>74</v>
      </c>
      <c r="I294" s="7" t="s">
        <v>108</v>
      </c>
    </row>
    <row r="295" customFormat="false" ht="22.35" hidden="false" customHeight="false" outlineLevel="0" collapsed="false">
      <c r="A295" s="7" t="s">
        <v>786</v>
      </c>
      <c r="B295" s="7" t="s">
        <v>67</v>
      </c>
      <c r="C295" s="7" t="s">
        <v>63</v>
      </c>
      <c r="D295" s="7" t="s">
        <v>99</v>
      </c>
      <c r="E295" s="8" t="s">
        <v>787</v>
      </c>
      <c r="F295" s="9" t="s">
        <v>107</v>
      </c>
      <c r="G295" s="7" t="s">
        <v>44</v>
      </c>
      <c r="H295" s="7" t="s">
        <v>45</v>
      </c>
      <c r="I295" s="7" t="s">
        <v>101</v>
      </c>
    </row>
    <row r="296" customFormat="false" ht="22.35" hidden="false" customHeight="false" outlineLevel="0" collapsed="false">
      <c r="A296" s="7" t="s">
        <v>788</v>
      </c>
      <c r="B296" s="7" t="s">
        <v>67</v>
      </c>
      <c r="C296" s="7" t="s">
        <v>48</v>
      </c>
      <c r="D296" s="7" t="s">
        <v>91</v>
      </c>
      <c r="E296" s="8" t="s">
        <v>789</v>
      </c>
      <c r="F296" s="9" t="s">
        <v>107</v>
      </c>
      <c r="G296" s="7" t="s">
        <v>139</v>
      </c>
      <c r="H296" s="7" t="s">
        <v>74</v>
      </c>
      <c r="I296" s="7" t="s">
        <v>790</v>
      </c>
    </row>
    <row r="297" customFormat="false" ht="22.35" hidden="false" customHeight="false" outlineLevel="0" collapsed="false">
      <c r="A297" s="7" t="s">
        <v>791</v>
      </c>
      <c r="B297" s="7" t="s">
        <v>39</v>
      </c>
      <c r="C297" s="7" t="s">
        <v>48</v>
      </c>
      <c r="D297" s="7" t="s">
        <v>49</v>
      </c>
      <c r="E297" s="8" t="s">
        <v>792</v>
      </c>
      <c r="F297" s="9" t="s">
        <v>51</v>
      </c>
      <c r="G297" s="7" t="s">
        <v>58</v>
      </c>
      <c r="H297" s="7" t="s">
        <v>59</v>
      </c>
      <c r="I297" s="7" t="s">
        <v>79</v>
      </c>
    </row>
    <row r="298" customFormat="false" ht="22.35" hidden="false" customHeight="false" outlineLevel="0" collapsed="false">
      <c r="A298" s="7" t="s">
        <v>793</v>
      </c>
      <c r="B298" s="7" t="s">
        <v>39</v>
      </c>
      <c r="C298" s="7" t="s">
        <v>63</v>
      </c>
      <c r="D298" s="7" t="s">
        <v>99</v>
      </c>
      <c r="E298" s="8" t="s">
        <v>794</v>
      </c>
      <c r="F298" s="9" t="s">
        <v>43</v>
      </c>
      <c r="G298" s="7" t="s">
        <v>73</v>
      </c>
      <c r="H298" s="7" t="s">
        <v>74</v>
      </c>
      <c r="I298" s="7" t="s">
        <v>104</v>
      </c>
    </row>
    <row r="299" customFormat="false" ht="22.35" hidden="false" customHeight="false" outlineLevel="0" collapsed="false">
      <c r="A299" s="7" t="s">
        <v>795</v>
      </c>
      <c r="B299" s="7" t="s">
        <v>132</v>
      </c>
      <c r="C299" s="7" t="s">
        <v>48</v>
      </c>
      <c r="D299" s="7" t="s">
        <v>49</v>
      </c>
      <c r="E299" s="8" t="s">
        <v>796</v>
      </c>
      <c r="F299" s="9" t="s">
        <v>43</v>
      </c>
      <c r="G299" s="7" t="s">
        <v>44</v>
      </c>
      <c r="H299" s="7" t="s">
        <v>45</v>
      </c>
      <c r="I299" s="7" t="s">
        <v>282</v>
      </c>
    </row>
    <row r="300" customFormat="false" ht="15" hidden="false" customHeight="false" outlineLevel="0" collapsed="false">
      <c r="A300" s="7" t="s">
        <v>797</v>
      </c>
      <c r="B300" s="7" t="s">
        <v>39</v>
      </c>
      <c r="C300" s="7" t="s">
        <v>55</v>
      </c>
      <c r="D300" s="7" t="s">
        <v>49</v>
      </c>
      <c r="E300" s="8" t="s">
        <v>798</v>
      </c>
      <c r="F300" s="9" t="s">
        <v>43</v>
      </c>
      <c r="G300" s="7" t="s">
        <v>44</v>
      </c>
      <c r="H300" s="7" t="s">
        <v>45</v>
      </c>
      <c r="I300" s="7" t="s">
        <v>79</v>
      </c>
    </row>
    <row r="301" customFormat="false" ht="22.35" hidden="false" customHeight="false" outlineLevel="0" collapsed="false">
      <c r="A301" s="7" t="s">
        <v>799</v>
      </c>
      <c r="B301" s="7" t="s">
        <v>77</v>
      </c>
      <c r="C301" s="7" t="s">
        <v>48</v>
      </c>
      <c r="D301" s="7" t="s">
        <v>99</v>
      </c>
      <c r="E301" s="8" t="s">
        <v>800</v>
      </c>
      <c r="F301" s="9" t="s">
        <v>107</v>
      </c>
      <c r="G301" s="7" t="s">
        <v>139</v>
      </c>
      <c r="H301" s="7" t="s">
        <v>74</v>
      </c>
      <c r="I301" s="7" t="s">
        <v>122</v>
      </c>
    </row>
    <row r="302" customFormat="false" ht="22.35" hidden="false" customHeight="false" outlineLevel="0" collapsed="false">
      <c r="A302" s="7" t="s">
        <v>801</v>
      </c>
      <c r="B302" s="7" t="s">
        <v>77</v>
      </c>
      <c r="C302" s="7" t="s">
        <v>40</v>
      </c>
      <c r="D302" s="7" t="s">
        <v>91</v>
      </c>
      <c r="E302" s="8" t="s">
        <v>802</v>
      </c>
      <c r="F302" s="9" t="s">
        <v>51</v>
      </c>
      <c r="G302" s="7" t="s">
        <v>44</v>
      </c>
      <c r="H302" s="7" t="s">
        <v>45</v>
      </c>
      <c r="I302" s="7" t="s">
        <v>186</v>
      </c>
    </row>
    <row r="303" customFormat="false" ht="22.35" hidden="false" customHeight="false" outlineLevel="0" collapsed="false">
      <c r="A303" s="7" t="s">
        <v>803</v>
      </c>
      <c r="B303" s="7" t="s">
        <v>67</v>
      </c>
      <c r="C303" s="7" t="s">
        <v>55</v>
      </c>
      <c r="D303" s="7" t="s">
        <v>41</v>
      </c>
      <c r="E303" s="8" t="s">
        <v>804</v>
      </c>
      <c r="F303" s="9" t="s">
        <v>43</v>
      </c>
      <c r="G303" s="7" t="s">
        <v>44</v>
      </c>
      <c r="H303" s="7" t="s">
        <v>45</v>
      </c>
      <c r="I303" s="7" t="s">
        <v>416</v>
      </c>
    </row>
    <row r="304" customFormat="false" ht="22.35" hidden="false" customHeight="false" outlineLevel="0" collapsed="false">
      <c r="A304" s="7" t="s">
        <v>805</v>
      </c>
      <c r="B304" s="7" t="s">
        <v>62</v>
      </c>
      <c r="C304" s="7" t="s">
        <v>63</v>
      </c>
      <c r="D304" s="7" t="s">
        <v>91</v>
      </c>
      <c r="E304" s="8" t="s">
        <v>806</v>
      </c>
      <c r="F304" s="9" t="s">
        <v>51</v>
      </c>
      <c r="G304" s="7" t="s">
        <v>44</v>
      </c>
      <c r="H304" s="7" t="s">
        <v>45</v>
      </c>
      <c r="I304" s="7" t="s">
        <v>199</v>
      </c>
    </row>
    <row r="305" customFormat="false" ht="22.35" hidden="false" customHeight="false" outlineLevel="0" collapsed="false">
      <c r="A305" s="7" t="s">
        <v>807</v>
      </c>
      <c r="B305" s="7" t="s">
        <v>132</v>
      </c>
      <c r="C305" s="7" t="s">
        <v>55</v>
      </c>
      <c r="D305" s="7" t="s">
        <v>91</v>
      </c>
      <c r="E305" s="8" t="s">
        <v>808</v>
      </c>
      <c r="F305" s="9" t="s">
        <v>51</v>
      </c>
      <c r="G305" s="7" t="s">
        <v>69</v>
      </c>
      <c r="H305" s="7" t="s">
        <v>59</v>
      </c>
      <c r="I305" s="7" t="s">
        <v>809</v>
      </c>
    </row>
    <row r="306" customFormat="false" ht="22.35" hidden="false" customHeight="false" outlineLevel="0" collapsed="false">
      <c r="A306" s="7" t="s">
        <v>810</v>
      </c>
      <c r="B306" s="7" t="s">
        <v>132</v>
      </c>
      <c r="C306" s="7" t="s">
        <v>55</v>
      </c>
      <c r="D306" s="7" t="s">
        <v>41</v>
      </c>
      <c r="E306" s="8" t="s">
        <v>811</v>
      </c>
      <c r="F306" s="9" t="s">
        <v>43</v>
      </c>
      <c r="G306" s="7" t="s">
        <v>58</v>
      </c>
      <c r="H306" s="7" t="s">
        <v>59</v>
      </c>
      <c r="I306" s="7" t="s">
        <v>205</v>
      </c>
    </row>
    <row r="307" customFormat="false" ht="22.35" hidden="false" customHeight="false" outlineLevel="0" collapsed="false">
      <c r="A307" s="7" t="s">
        <v>812</v>
      </c>
      <c r="B307" s="7" t="s">
        <v>67</v>
      </c>
      <c r="C307" s="7" t="s">
        <v>40</v>
      </c>
      <c r="D307" s="7" t="s">
        <v>49</v>
      </c>
      <c r="E307" s="8" t="s">
        <v>813</v>
      </c>
      <c r="F307" s="9" t="s">
        <v>51</v>
      </c>
      <c r="G307" s="7" t="s">
        <v>73</v>
      </c>
      <c r="H307" s="7" t="s">
        <v>74</v>
      </c>
      <c r="I307" s="7" t="s">
        <v>79</v>
      </c>
    </row>
    <row r="308" customFormat="false" ht="22.35" hidden="false" customHeight="false" outlineLevel="0" collapsed="false">
      <c r="A308" s="7" t="s">
        <v>814</v>
      </c>
      <c r="B308" s="7" t="s">
        <v>132</v>
      </c>
      <c r="C308" s="7" t="s">
        <v>63</v>
      </c>
      <c r="D308" s="7" t="s">
        <v>56</v>
      </c>
      <c r="E308" s="8" t="s">
        <v>815</v>
      </c>
      <c r="F308" s="9" t="s">
        <v>43</v>
      </c>
      <c r="G308" s="7" t="s">
        <v>44</v>
      </c>
      <c r="H308" s="7" t="s">
        <v>45</v>
      </c>
      <c r="I308" s="7" t="s">
        <v>816</v>
      </c>
    </row>
    <row r="309" customFormat="false" ht="22.35" hidden="false" customHeight="false" outlineLevel="0" collapsed="false">
      <c r="A309" s="7" t="s">
        <v>817</v>
      </c>
      <c r="B309" s="7" t="s">
        <v>39</v>
      </c>
      <c r="C309" s="7" t="s">
        <v>55</v>
      </c>
      <c r="D309" s="7" t="s">
        <v>41</v>
      </c>
      <c r="E309" s="8" t="s">
        <v>818</v>
      </c>
      <c r="F309" s="9" t="s">
        <v>43</v>
      </c>
      <c r="G309" s="7" t="s">
        <v>44</v>
      </c>
      <c r="H309" s="7" t="s">
        <v>45</v>
      </c>
      <c r="I309" s="7" t="s">
        <v>82</v>
      </c>
    </row>
    <row r="310" customFormat="false" ht="22.35" hidden="false" customHeight="false" outlineLevel="0" collapsed="false">
      <c r="A310" s="7" t="s">
        <v>819</v>
      </c>
      <c r="B310" s="7" t="s">
        <v>39</v>
      </c>
      <c r="C310" s="7" t="s">
        <v>48</v>
      </c>
      <c r="D310" s="7" t="s">
        <v>41</v>
      </c>
      <c r="E310" s="8" t="s">
        <v>820</v>
      </c>
      <c r="F310" s="9" t="s">
        <v>107</v>
      </c>
      <c r="G310" s="7" t="s">
        <v>139</v>
      </c>
      <c r="H310" s="7" t="s">
        <v>74</v>
      </c>
      <c r="I310" s="7" t="s">
        <v>711</v>
      </c>
    </row>
    <row r="311" customFormat="false" ht="22.35" hidden="false" customHeight="false" outlineLevel="0" collapsed="false">
      <c r="A311" s="7" t="s">
        <v>821</v>
      </c>
      <c r="B311" s="7" t="s">
        <v>62</v>
      </c>
      <c r="C311" s="7" t="s">
        <v>48</v>
      </c>
      <c r="D311" s="7" t="s">
        <v>41</v>
      </c>
      <c r="E311" s="8" t="s">
        <v>822</v>
      </c>
      <c r="F311" s="9" t="s">
        <v>107</v>
      </c>
      <c r="G311" s="7" t="s">
        <v>139</v>
      </c>
      <c r="H311" s="7" t="s">
        <v>74</v>
      </c>
      <c r="I311" s="7" t="s">
        <v>508</v>
      </c>
    </row>
    <row r="312" customFormat="false" ht="22.35" hidden="false" customHeight="false" outlineLevel="0" collapsed="false">
      <c r="A312" s="7" t="s">
        <v>823</v>
      </c>
      <c r="B312" s="7" t="s">
        <v>62</v>
      </c>
      <c r="C312" s="7" t="s">
        <v>48</v>
      </c>
      <c r="D312" s="7" t="s">
        <v>91</v>
      </c>
      <c r="E312" s="8" t="s">
        <v>824</v>
      </c>
      <c r="F312" s="9" t="s">
        <v>51</v>
      </c>
      <c r="G312" s="7" t="s">
        <v>44</v>
      </c>
      <c r="H312" s="7" t="s">
        <v>45</v>
      </c>
      <c r="I312" s="7" t="s">
        <v>825</v>
      </c>
    </row>
    <row r="313" customFormat="false" ht="15" hidden="false" customHeight="false" outlineLevel="0" collapsed="false">
      <c r="A313" s="7" t="s">
        <v>826</v>
      </c>
      <c r="B313" s="7" t="s">
        <v>95</v>
      </c>
      <c r="C313" s="7" t="s">
        <v>40</v>
      </c>
      <c r="D313" s="7" t="s">
        <v>99</v>
      </c>
      <c r="E313" s="8" t="s">
        <v>827</v>
      </c>
      <c r="F313" s="9" t="s">
        <v>43</v>
      </c>
      <c r="G313" s="7" t="s">
        <v>44</v>
      </c>
      <c r="H313" s="7" t="s">
        <v>45</v>
      </c>
      <c r="I313" s="7" t="s">
        <v>175</v>
      </c>
    </row>
    <row r="314" customFormat="false" ht="15" hidden="false" customHeight="false" outlineLevel="0" collapsed="false">
      <c r="A314" s="7" t="s">
        <v>828</v>
      </c>
      <c r="B314" s="7" t="s">
        <v>84</v>
      </c>
      <c r="C314" s="7" t="s">
        <v>40</v>
      </c>
      <c r="D314" s="7" t="s">
        <v>99</v>
      </c>
      <c r="E314" s="8" t="s">
        <v>829</v>
      </c>
      <c r="F314" s="9" t="s">
        <v>51</v>
      </c>
      <c r="G314" s="7" t="s">
        <v>44</v>
      </c>
      <c r="H314" s="7" t="s">
        <v>45</v>
      </c>
      <c r="I314" s="7" t="s">
        <v>104</v>
      </c>
    </row>
    <row r="315" customFormat="false" ht="22.35" hidden="false" customHeight="false" outlineLevel="0" collapsed="false">
      <c r="A315" s="7" t="s">
        <v>830</v>
      </c>
      <c r="B315" s="7" t="s">
        <v>67</v>
      </c>
      <c r="C315" s="7" t="s">
        <v>63</v>
      </c>
      <c r="D315" s="7" t="s">
        <v>56</v>
      </c>
      <c r="E315" s="8" t="s">
        <v>831</v>
      </c>
      <c r="F315" s="9" t="s">
        <v>107</v>
      </c>
      <c r="G315" s="7" t="s">
        <v>73</v>
      </c>
      <c r="H315" s="7" t="s">
        <v>74</v>
      </c>
      <c r="I315" s="7" t="s">
        <v>162</v>
      </c>
    </row>
    <row r="316" customFormat="false" ht="22.35" hidden="false" customHeight="false" outlineLevel="0" collapsed="false">
      <c r="A316" s="7" t="s">
        <v>832</v>
      </c>
      <c r="B316" s="7" t="s">
        <v>77</v>
      </c>
      <c r="C316" s="7" t="s">
        <v>63</v>
      </c>
      <c r="D316" s="7" t="s">
        <v>91</v>
      </c>
      <c r="E316" s="8" t="s">
        <v>833</v>
      </c>
      <c r="F316" s="9" t="s">
        <v>107</v>
      </c>
      <c r="G316" s="7" t="s">
        <v>139</v>
      </c>
      <c r="H316" s="7" t="s">
        <v>74</v>
      </c>
      <c r="I316" s="7" t="s">
        <v>834</v>
      </c>
    </row>
    <row r="317" customFormat="false" ht="22.35" hidden="false" customHeight="false" outlineLevel="0" collapsed="false">
      <c r="A317" s="7" t="s">
        <v>835</v>
      </c>
      <c r="B317" s="7" t="s">
        <v>62</v>
      </c>
      <c r="C317" s="7" t="s">
        <v>40</v>
      </c>
      <c r="D317" s="7" t="s">
        <v>41</v>
      </c>
      <c r="E317" s="8" t="s">
        <v>836</v>
      </c>
      <c r="F317" s="9" t="s">
        <v>51</v>
      </c>
      <c r="G317" s="7" t="s">
        <v>58</v>
      </c>
      <c r="H317" s="7" t="s">
        <v>59</v>
      </c>
      <c r="I317" s="7" t="s">
        <v>416</v>
      </c>
    </row>
    <row r="318" customFormat="false" ht="22.35" hidden="false" customHeight="false" outlineLevel="0" collapsed="false">
      <c r="A318" s="7" t="s">
        <v>837</v>
      </c>
      <c r="B318" s="7" t="s">
        <v>95</v>
      </c>
      <c r="C318" s="7" t="s">
        <v>55</v>
      </c>
      <c r="D318" s="7" t="s">
        <v>91</v>
      </c>
      <c r="E318" s="8" t="s">
        <v>838</v>
      </c>
      <c r="F318" s="9" t="s">
        <v>51</v>
      </c>
      <c r="G318" s="7" t="s">
        <v>44</v>
      </c>
      <c r="H318" s="7" t="s">
        <v>45</v>
      </c>
      <c r="I318" s="7" t="s">
        <v>521</v>
      </c>
    </row>
    <row r="319" customFormat="false" ht="22.35" hidden="false" customHeight="false" outlineLevel="0" collapsed="false">
      <c r="A319" s="7" t="s">
        <v>839</v>
      </c>
      <c r="B319" s="7" t="s">
        <v>54</v>
      </c>
      <c r="C319" s="7" t="s">
        <v>63</v>
      </c>
      <c r="D319" s="7" t="s">
        <v>41</v>
      </c>
      <c r="E319" s="8" t="s">
        <v>840</v>
      </c>
      <c r="F319" s="9" t="s">
        <v>43</v>
      </c>
      <c r="G319" s="7" t="s">
        <v>44</v>
      </c>
      <c r="H319" s="7" t="s">
        <v>45</v>
      </c>
      <c r="I319" s="7" t="s">
        <v>232</v>
      </c>
    </row>
    <row r="320" customFormat="false" ht="22.35" hidden="false" customHeight="false" outlineLevel="0" collapsed="false">
      <c r="A320" s="7" t="s">
        <v>841</v>
      </c>
      <c r="B320" s="7" t="s">
        <v>84</v>
      </c>
      <c r="C320" s="7" t="s">
        <v>55</v>
      </c>
      <c r="D320" s="7" t="s">
        <v>49</v>
      </c>
      <c r="E320" s="8" t="s">
        <v>842</v>
      </c>
      <c r="F320" s="9" t="s">
        <v>51</v>
      </c>
      <c r="G320" s="7" t="s">
        <v>73</v>
      </c>
      <c r="H320" s="7" t="s">
        <v>74</v>
      </c>
      <c r="I320" s="7" t="s">
        <v>282</v>
      </c>
    </row>
    <row r="321" customFormat="false" ht="22.35" hidden="false" customHeight="false" outlineLevel="0" collapsed="false">
      <c r="A321" s="7" t="s">
        <v>843</v>
      </c>
      <c r="B321" s="7" t="s">
        <v>54</v>
      </c>
      <c r="C321" s="7" t="s">
        <v>55</v>
      </c>
      <c r="D321" s="7" t="s">
        <v>99</v>
      </c>
      <c r="E321" s="8" t="s">
        <v>844</v>
      </c>
      <c r="F321" s="9" t="s">
        <v>43</v>
      </c>
      <c r="G321" s="7" t="s">
        <v>73</v>
      </c>
      <c r="H321" s="7" t="s">
        <v>74</v>
      </c>
      <c r="I321" s="7" t="s">
        <v>122</v>
      </c>
    </row>
    <row r="322" customFormat="false" ht="22.35" hidden="false" customHeight="false" outlineLevel="0" collapsed="false">
      <c r="A322" s="7" t="s">
        <v>845</v>
      </c>
      <c r="B322" s="7" t="s">
        <v>95</v>
      </c>
      <c r="C322" s="7" t="s">
        <v>48</v>
      </c>
      <c r="D322" s="7" t="s">
        <v>99</v>
      </c>
      <c r="E322" s="8" t="s">
        <v>846</v>
      </c>
      <c r="F322" s="9" t="s">
        <v>107</v>
      </c>
      <c r="G322" s="7" t="s">
        <v>44</v>
      </c>
      <c r="H322" s="7" t="s">
        <v>45</v>
      </c>
      <c r="I322" s="7" t="s">
        <v>169</v>
      </c>
    </row>
    <row r="323" customFormat="false" ht="22.35" hidden="false" customHeight="false" outlineLevel="0" collapsed="false">
      <c r="A323" s="7" t="s">
        <v>847</v>
      </c>
      <c r="B323" s="7" t="s">
        <v>84</v>
      </c>
      <c r="C323" s="7" t="s">
        <v>48</v>
      </c>
      <c r="D323" s="7" t="s">
        <v>91</v>
      </c>
      <c r="E323" s="8" t="s">
        <v>848</v>
      </c>
      <c r="F323" s="9" t="s">
        <v>107</v>
      </c>
      <c r="G323" s="7" t="s">
        <v>44</v>
      </c>
      <c r="H323" s="7" t="s">
        <v>45</v>
      </c>
      <c r="I323" s="7" t="s">
        <v>849</v>
      </c>
    </row>
    <row r="324" customFormat="false" ht="22.35" hidden="false" customHeight="false" outlineLevel="0" collapsed="false">
      <c r="A324" s="7" t="s">
        <v>850</v>
      </c>
      <c r="B324" s="7" t="s">
        <v>54</v>
      </c>
      <c r="C324" s="7" t="s">
        <v>40</v>
      </c>
      <c r="D324" s="7" t="s">
        <v>91</v>
      </c>
      <c r="E324" s="8" t="s">
        <v>851</v>
      </c>
      <c r="F324" s="9" t="s">
        <v>51</v>
      </c>
      <c r="G324" s="7" t="s">
        <v>69</v>
      </c>
      <c r="H324" s="7" t="s">
        <v>59</v>
      </c>
      <c r="I324" s="7" t="s">
        <v>852</v>
      </c>
    </row>
    <row r="325" customFormat="false" ht="22.35" hidden="false" customHeight="false" outlineLevel="0" collapsed="false">
      <c r="A325" s="7" t="s">
        <v>853</v>
      </c>
      <c r="B325" s="7" t="s">
        <v>39</v>
      </c>
      <c r="C325" s="7" t="s">
        <v>63</v>
      </c>
      <c r="D325" s="7" t="s">
        <v>91</v>
      </c>
      <c r="E325" s="8" t="s">
        <v>854</v>
      </c>
      <c r="F325" s="9" t="s">
        <v>43</v>
      </c>
      <c r="G325" s="7" t="s">
        <v>44</v>
      </c>
      <c r="H325" s="7" t="s">
        <v>45</v>
      </c>
      <c r="I325" s="7" t="s">
        <v>855</v>
      </c>
    </row>
    <row r="326" customFormat="false" ht="22.35" hidden="false" customHeight="false" outlineLevel="0" collapsed="false">
      <c r="A326" s="7" t="s">
        <v>856</v>
      </c>
      <c r="B326" s="7" t="s">
        <v>95</v>
      </c>
      <c r="C326" s="7" t="s">
        <v>48</v>
      </c>
      <c r="D326" s="7" t="s">
        <v>49</v>
      </c>
      <c r="E326" s="8" t="s">
        <v>857</v>
      </c>
      <c r="F326" s="9" t="s">
        <v>43</v>
      </c>
      <c r="G326" s="7" t="s">
        <v>44</v>
      </c>
      <c r="H326" s="7" t="s">
        <v>45</v>
      </c>
      <c r="I326" s="7" t="s">
        <v>136</v>
      </c>
    </row>
    <row r="327" customFormat="false" ht="22.35" hidden="false" customHeight="false" outlineLevel="0" collapsed="false">
      <c r="A327" s="7" t="s">
        <v>858</v>
      </c>
      <c r="B327" s="7" t="s">
        <v>132</v>
      </c>
      <c r="C327" s="7" t="s">
        <v>55</v>
      </c>
      <c r="D327" s="7" t="s">
        <v>91</v>
      </c>
      <c r="E327" s="8" t="s">
        <v>859</v>
      </c>
      <c r="F327" s="9" t="s">
        <v>43</v>
      </c>
      <c r="G327" s="7" t="s">
        <v>44</v>
      </c>
      <c r="H327" s="7" t="s">
        <v>45</v>
      </c>
      <c r="I327" s="7" t="s">
        <v>552</v>
      </c>
    </row>
    <row r="328" customFormat="false" ht="22.35" hidden="false" customHeight="false" outlineLevel="0" collapsed="false">
      <c r="A328" s="7" t="s">
        <v>860</v>
      </c>
      <c r="B328" s="7" t="s">
        <v>132</v>
      </c>
      <c r="C328" s="7" t="s">
        <v>40</v>
      </c>
      <c r="D328" s="7" t="s">
        <v>91</v>
      </c>
      <c r="E328" s="8" t="s">
        <v>861</v>
      </c>
      <c r="F328" s="9" t="s">
        <v>43</v>
      </c>
      <c r="G328" s="7" t="s">
        <v>44</v>
      </c>
      <c r="H328" s="7" t="s">
        <v>45</v>
      </c>
      <c r="I328" s="7" t="s">
        <v>745</v>
      </c>
    </row>
    <row r="329" customFormat="false" ht="22.35" hidden="false" customHeight="false" outlineLevel="0" collapsed="false">
      <c r="A329" s="7" t="s">
        <v>862</v>
      </c>
      <c r="B329" s="7" t="s">
        <v>77</v>
      </c>
      <c r="C329" s="7" t="s">
        <v>40</v>
      </c>
      <c r="D329" s="7" t="s">
        <v>56</v>
      </c>
      <c r="E329" s="8" t="s">
        <v>863</v>
      </c>
      <c r="F329" s="9" t="s">
        <v>107</v>
      </c>
      <c r="G329" s="7" t="s">
        <v>44</v>
      </c>
      <c r="H329" s="7" t="s">
        <v>45</v>
      </c>
      <c r="I329" s="7" t="s">
        <v>864</v>
      </c>
    </row>
    <row r="330" customFormat="false" ht="22.35" hidden="false" customHeight="false" outlineLevel="0" collapsed="false">
      <c r="A330" s="7" t="s">
        <v>865</v>
      </c>
      <c r="B330" s="7" t="s">
        <v>67</v>
      </c>
      <c r="C330" s="7" t="s">
        <v>48</v>
      </c>
      <c r="D330" s="7" t="s">
        <v>56</v>
      </c>
      <c r="E330" s="8" t="s">
        <v>866</v>
      </c>
      <c r="F330" s="9" t="s">
        <v>43</v>
      </c>
      <c r="G330" s="7" t="s">
        <v>44</v>
      </c>
      <c r="H330" s="7" t="s">
        <v>45</v>
      </c>
      <c r="I330" s="7" t="s">
        <v>867</v>
      </c>
    </row>
    <row r="331" customFormat="false" ht="22.35" hidden="false" customHeight="false" outlineLevel="0" collapsed="false">
      <c r="A331" s="7" t="s">
        <v>868</v>
      </c>
      <c r="B331" s="7" t="s">
        <v>62</v>
      </c>
      <c r="C331" s="7" t="s">
        <v>48</v>
      </c>
      <c r="D331" s="7" t="s">
        <v>91</v>
      </c>
      <c r="E331" s="8" t="s">
        <v>869</v>
      </c>
      <c r="F331" s="9" t="s">
        <v>43</v>
      </c>
      <c r="G331" s="7" t="s">
        <v>44</v>
      </c>
      <c r="H331" s="7" t="s">
        <v>45</v>
      </c>
      <c r="I331" s="7" t="s">
        <v>870</v>
      </c>
    </row>
    <row r="332" customFormat="false" ht="22.35" hidden="false" customHeight="false" outlineLevel="0" collapsed="false">
      <c r="A332" s="7" t="s">
        <v>871</v>
      </c>
      <c r="B332" s="7" t="s">
        <v>132</v>
      </c>
      <c r="C332" s="7" t="s">
        <v>63</v>
      </c>
      <c r="D332" s="7" t="s">
        <v>56</v>
      </c>
      <c r="E332" s="8" t="s">
        <v>872</v>
      </c>
      <c r="F332" s="9" t="s">
        <v>51</v>
      </c>
      <c r="G332" s="7" t="s">
        <v>44</v>
      </c>
      <c r="H332" s="7" t="s">
        <v>45</v>
      </c>
      <c r="I332" s="7" t="s">
        <v>873</v>
      </c>
    </row>
    <row r="333" customFormat="false" ht="15" hidden="false" customHeight="false" outlineLevel="0" collapsed="false">
      <c r="A333" s="7" t="s">
        <v>874</v>
      </c>
      <c r="B333" s="7" t="s">
        <v>84</v>
      </c>
      <c r="C333" s="7" t="s">
        <v>63</v>
      </c>
      <c r="D333" s="7" t="s">
        <v>49</v>
      </c>
      <c r="E333" s="8" t="s">
        <v>875</v>
      </c>
      <c r="F333" s="9" t="s">
        <v>43</v>
      </c>
      <c r="G333" s="7" t="s">
        <v>44</v>
      </c>
      <c r="H333" s="7" t="s">
        <v>45</v>
      </c>
      <c r="I333" s="7" t="s">
        <v>186</v>
      </c>
    </row>
    <row r="334" customFormat="false" ht="22.35" hidden="false" customHeight="false" outlineLevel="0" collapsed="false">
      <c r="A334" s="7" t="s">
        <v>876</v>
      </c>
      <c r="B334" s="7" t="s">
        <v>67</v>
      </c>
      <c r="C334" s="7" t="s">
        <v>63</v>
      </c>
      <c r="D334" s="7" t="s">
        <v>99</v>
      </c>
      <c r="E334" s="8" t="s">
        <v>877</v>
      </c>
      <c r="F334" s="9" t="s">
        <v>43</v>
      </c>
      <c r="G334" s="7" t="s">
        <v>58</v>
      </c>
      <c r="H334" s="7" t="s">
        <v>59</v>
      </c>
      <c r="I334" s="7" t="s">
        <v>169</v>
      </c>
    </row>
    <row r="335" customFormat="false" ht="22.35" hidden="false" customHeight="false" outlineLevel="0" collapsed="false">
      <c r="A335" s="7" t="s">
        <v>878</v>
      </c>
      <c r="B335" s="7" t="s">
        <v>67</v>
      </c>
      <c r="C335" s="7" t="s">
        <v>40</v>
      </c>
      <c r="D335" s="7" t="s">
        <v>41</v>
      </c>
      <c r="E335" s="8" t="s">
        <v>879</v>
      </c>
      <c r="F335" s="9" t="s">
        <v>51</v>
      </c>
      <c r="G335" s="7" t="s">
        <v>69</v>
      </c>
      <c r="H335" s="7" t="s">
        <v>59</v>
      </c>
      <c r="I335" s="7" t="s">
        <v>75</v>
      </c>
    </row>
    <row r="336" customFormat="false" ht="22.35" hidden="false" customHeight="false" outlineLevel="0" collapsed="false">
      <c r="A336" s="7" t="s">
        <v>880</v>
      </c>
      <c r="B336" s="7" t="s">
        <v>54</v>
      </c>
      <c r="C336" s="7" t="s">
        <v>63</v>
      </c>
      <c r="D336" s="7" t="s">
        <v>91</v>
      </c>
      <c r="E336" s="8" t="s">
        <v>881</v>
      </c>
      <c r="F336" s="9" t="s">
        <v>51</v>
      </c>
      <c r="G336" s="7" t="s">
        <v>44</v>
      </c>
      <c r="H336" s="7" t="s">
        <v>45</v>
      </c>
      <c r="I336" s="7" t="s">
        <v>882</v>
      </c>
    </row>
    <row r="337" customFormat="false" ht="22.35" hidden="false" customHeight="false" outlineLevel="0" collapsed="false">
      <c r="A337" s="7" t="s">
        <v>883</v>
      </c>
      <c r="B337" s="7" t="s">
        <v>54</v>
      </c>
      <c r="C337" s="7" t="s">
        <v>40</v>
      </c>
      <c r="D337" s="7" t="s">
        <v>56</v>
      </c>
      <c r="E337" s="8" t="s">
        <v>884</v>
      </c>
      <c r="F337" s="9" t="s">
        <v>51</v>
      </c>
      <c r="G337" s="7" t="s">
        <v>58</v>
      </c>
      <c r="H337" s="7" t="s">
        <v>59</v>
      </c>
      <c r="I337" s="7" t="s">
        <v>885</v>
      </c>
    </row>
    <row r="338" customFormat="false" ht="22.35" hidden="false" customHeight="false" outlineLevel="0" collapsed="false">
      <c r="A338" s="7" t="s">
        <v>886</v>
      </c>
      <c r="B338" s="7" t="s">
        <v>62</v>
      </c>
      <c r="C338" s="7" t="s">
        <v>48</v>
      </c>
      <c r="D338" s="7" t="s">
        <v>49</v>
      </c>
      <c r="E338" s="8" t="s">
        <v>887</v>
      </c>
      <c r="F338" s="9" t="s">
        <v>51</v>
      </c>
      <c r="G338" s="7" t="s">
        <v>69</v>
      </c>
      <c r="H338" s="7" t="s">
        <v>59</v>
      </c>
      <c r="I338" s="7" t="s">
        <v>186</v>
      </c>
    </row>
    <row r="339" customFormat="false" ht="22.35" hidden="false" customHeight="false" outlineLevel="0" collapsed="false">
      <c r="A339" s="7" t="s">
        <v>888</v>
      </c>
      <c r="B339" s="7" t="s">
        <v>77</v>
      </c>
      <c r="C339" s="7" t="s">
        <v>48</v>
      </c>
      <c r="D339" s="7" t="s">
        <v>56</v>
      </c>
      <c r="E339" s="8" t="s">
        <v>889</v>
      </c>
      <c r="F339" s="9" t="s">
        <v>51</v>
      </c>
      <c r="G339" s="7" t="s">
        <v>58</v>
      </c>
      <c r="H339" s="7" t="s">
        <v>59</v>
      </c>
      <c r="I339" s="7" t="s">
        <v>890</v>
      </c>
    </row>
    <row r="340" customFormat="false" ht="22.35" hidden="false" customHeight="false" outlineLevel="0" collapsed="false">
      <c r="A340" s="7" t="s">
        <v>891</v>
      </c>
      <c r="B340" s="7" t="s">
        <v>62</v>
      </c>
      <c r="C340" s="7" t="s">
        <v>48</v>
      </c>
      <c r="D340" s="7" t="s">
        <v>41</v>
      </c>
      <c r="E340" s="8" t="s">
        <v>892</v>
      </c>
      <c r="F340" s="9" t="s">
        <v>43</v>
      </c>
      <c r="G340" s="7" t="s">
        <v>44</v>
      </c>
      <c r="H340" s="7" t="s">
        <v>45</v>
      </c>
      <c r="I340" s="7" t="s">
        <v>579</v>
      </c>
    </row>
    <row r="341" customFormat="false" ht="22.35" hidden="false" customHeight="false" outlineLevel="0" collapsed="false">
      <c r="A341" s="7" t="s">
        <v>893</v>
      </c>
      <c r="B341" s="7" t="s">
        <v>132</v>
      </c>
      <c r="C341" s="7" t="s">
        <v>40</v>
      </c>
      <c r="D341" s="7" t="s">
        <v>41</v>
      </c>
      <c r="E341" s="8" t="s">
        <v>894</v>
      </c>
      <c r="F341" s="9" t="s">
        <v>51</v>
      </c>
      <c r="G341" s="7" t="s">
        <v>58</v>
      </c>
      <c r="H341" s="7" t="s">
        <v>59</v>
      </c>
      <c r="I341" s="7" t="s">
        <v>311</v>
      </c>
    </row>
    <row r="342" customFormat="false" ht="15" hidden="false" customHeight="false" outlineLevel="0" collapsed="false">
      <c r="A342" s="7" t="s">
        <v>895</v>
      </c>
      <c r="B342" s="7" t="s">
        <v>95</v>
      </c>
      <c r="C342" s="7" t="s">
        <v>63</v>
      </c>
      <c r="D342" s="7" t="s">
        <v>91</v>
      </c>
      <c r="E342" s="8" t="s">
        <v>896</v>
      </c>
      <c r="F342" s="9" t="s">
        <v>51</v>
      </c>
      <c r="G342" s="7" t="s">
        <v>44</v>
      </c>
      <c r="H342" s="7" t="s">
        <v>45</v>
      </c>
      <c r="I342" s="7" t="s">
        <v>897</v>
      </c>
    </row>
    <row r="343" customFormat="false" ht="22.35" hidden="false" customHeight="false" outlineLevel="0" collapsed="false">
      <c r="A343" s="7" t="s">
        <v>898</v>
      </c>
      <c r="B343" s="7" t="s">
        <v>67</v>
      </c>
      <c r="C343" s="7" t="s">
        <v>63</v>
      </c>
      <c r="D343" s="7" t="s">
        <v>56</v>
      </c>
      <c r="E343" s="8" t="s">
        <v>899</v>
      </c>
      <c r="F343" s="9" t="s">
        <v>107</v>
      </c>
      <c r="G343" s="7" t="s">
        <v>73</v>
      </c>
      <c r="H343" s="7" t="s">
        <v>74</v>
      </c>
      <c r="I343" s="7" t="s">
        <v>900</v>
      </c>
    </row>
    <row r="344" customFormat="false" ht="22.35" hidden="false" customHeight="false" outlineLevel="0" collapsed="false">
      <c r="A344" s="7" t="s">
        <v>901</v>
      </c>
      <c r="B344" s="7" t="s">
        <v>84</v>
      </c>
      <c r="C344" s="7" t="s">
        <v>40</v>
      </c>
      <c r="D344" s="7" t="s">
        <v>41</v>
      </c>
      <c r="E344" s="8" t="s">
        <v>902</v>
      </c>
      <c r="F344" s="9" t="s">
        <v>107</v>
      </c>
      <c r="G344" s="7" t="s">
        <v>44</v>
      </c>
      <c r="H344" s="7" t="s">
        <v>45</v>
      </c>
      <c r="I344" s="7" t="s">
        <v>368</v>
      </c>
    </row>
    <row r="345" customFormat="false" ht="22.35" hidden="false" customHeight="false" outlineLevel="0" collapsed="false">
      <c r="A345" s="7" t="s">
        <v>903</v>
      </c>
      <c r="B345" s="7" t="s">
        <v>84</v>
      </c>
      <c r="C345" s="7" t="s">
        <v>48</v>
      </c>
      <c r="D345" s="7" t="s">
        <v>99</v>
      </c>
      <c r="E345" s="8" t="s">
        <v>904</v>
      </c>
      <c r="F345" s="9" t="s">
        <v>51</v>
      </c>
      <c r="G345" s="7" t="s">
        <v>69</v>
      </c>
      <c r="H345" s="7" t="s">
        <v>59</v>
      </c>
      <c r="I345" s="7" t="s">
        <v>122</v>
      </c>
    </row>
    <row r="346" customFormat="false" ht="22.35" hidden="false" customHeight="false" outlineLevel="0" collapsed="false">
      <c r="A346" s="7" t="s">
        <v>905</v>
      </c>
      <c r="B346" s="7" t="s">
        <v>132</v>
      </c>
      <c r="C346" s="7" t="s">
        <v>40</v>
      </c>
      <c r="D346" s="7" t="s">
        <v>99</v>
      </c>
      <c r="E346" s="8" t="s">
        <v>906</v>
      </c>
      <c r="F346" s="9" t="s">
        <v>43</v>
      </c>
      <c r="G346" s="7" t="s">
        <v>44</v>
      </c>
      <c r="H346" s="7" t="s">
        <v>45</v>
      </c>
      <c r="I346" s="7" t="s">
        <v>122</v>
      </c>
    </row>
    <row r="347" customFormat="false" ht="22.35" hidden="false" customHeight="false" outlineLevel="0" collapsed="false">
      <c r="A347" s="7" t="s">
        <v>907</v>
      </c>
      <c r="B347" s="7" t="s">
        <v>54</v>
      </c>
      <c r="C347" s="7" t="s">
        <v>48</v>
      </c>
      <c r="D347" s="7" t="s">
        <v>49</v>
      </c>
      <c r="E347" s="8" t="s">
        <v>908</v>
      </c>
      <c r="F347" s="9" t="s">
        <v>51</v>
      </c>
      <c r="G347" s="7" t="s">
        <v>44</v>
      </c>
      <c r="H347" s="7" t="s">
        <v>45</v>
      </c>
      <c r="I347" s="7" t="s">
        <v>282</v>
      </c>
    </row>
    <row r="348" customFormat="false" ht="22.35" hidden="false" customHeight="false" outlineLevel="0" collapsed="false">
      <c r="A348" s="7" t="s">
        <v>909</v>
      </c>
      <c r="B348" s="7" t="s">
        <v>84</v>
      </c>
      <c r="C348" s="7" t="s">
        <v>55</v>
      </c>
      <c r="D348" s="7" t="s">
        <v>91</v>
      </c>
      <c r="E348" s="8" t="s">
        <v>910</v>
      </c>
      <c r="F348" s="9" t="s">
        <v>43</v>
      </c>
      <c r="G348" s="7" t="s">
        <v>58</v>
      </c>
      <c r="H348" s="7" t="s">
        <v>59</v>
      </c>
      <c r="I348" s="7" t="s">
        <v>911</v>
      </c>
    </row>
    <row r="349" customFormat="false" ht="22.35" hidden="false" customHeight="false" outlineLevel="0" collapsed="false">
      <c r="A349" s="7" t="s">
        <v>912</v>
      </c>
      <c r="B349" s="7" t="s">
        <v>39</v>
      </c>
      <c r="C349" s="7" t="s">
        <v>55</v>
      </c>
      <c r="D349" s="7" t="s">
        <v>49</v>
      </c>
      <c r="E349" s="8" t="s">
        <v>913</v>
      </c>
      <c r="F349" s="9" t="s">
        <v>43</v>
      </c>
      <c r="G349" s="7" t="s">
        <v>44</v>
      </c>
      <c r="H349" s="7" t="s">
        <v>45</v>
      </c>
      <c r="I349" s="7" t="s">
        <v>125</v>
      </c>
    </row>
    <row r="350" customFormat="false" ht="22.35" hidden="false" customHeight="false" outlineLevel="0" collapsed="false">
      <c r="A350" s="7" t="s">
        <v>914</v>
      </c>
      <c r="B350" s="7" t="s">
        <v>77</v>
      </c>
      <c r="C350" s="7" t="s">
        <v>40</v>
      </c>
      <c r="D350" s="7" t="s">
        <v>56</v>
      </c>
      <c r="E350" s="8" t="s">
        <v>915</v>
      </c>
      <c r="F350" s="9" t="s">
        <v>107</v>
      </c>
      <c r="G350" s="7" t="s">
        <v>44</v>
      </c>
      <c r="H350" s="7" t="s">
        <v>45</v>
      </c>
      <c r="I350" s="7" t="s">
        <v>816</v>
      </c>
    </row>
    <row r="351" customFormat="false" ht="22.35" hidden="false" customHeight="false" outlineLevel="0" collapsed="false">
      <c r="A351" s="7" t="s">
        <v>916</v>
      </c>
      <c r="B351" s="7" t="s">
        <v>95</v>
      </c>
      <c r="C351" s="7" t="s">
        <v>40</v>
      </c>
      <c r="D351" s="7" t="s">
        <v>41</v>
      </c>
      <c r="E351" s="8" t="s">
        <v>917</v>
      </c>
      <c r="F351" s="9" t="s">
        <v>43</v>
      </c>
      <c r="G351" s="7" t="s">
        <v>44</v>
      </c>
      <c r="H351" s="7" t="s">
        <v>45</v>
      </c>
      <c r="I351" s="7" t="s">
        <v>82</v>
      </c>
    </row>
    <row r="352" customFormat="false" ht="22.35" hidden="false" customHeight="false" outlineLevel="0" collapsed="false">
      <c r="A352" s="7" t="s">
        <v>918</v>
      </c>
      <c r="B352" s="7" t="s">
        <v>77</v>
      </c>
      <c r="C352" s="7" t="s">
        <v>63</v>
      </c>
      <c r="D352" s="7" t="s">
        <v>91</v>
      </c>
      <c r="E352" s="8" t="s">
        <v>919</v>
      </c>
      <c r="F352" s="9" t="s">
        <v>51</v>
      </c>
      <c r="G352" s="7" t="s">
        <v>44</v>
      </c>
      <c r="H352" s="7" t="s">
        <v>45</v>
      </c>
      <c r="I352" s="7" t="s">
        <v>920</v>
      </c>
    </row>
    <row r="353" customFormat="false" ht="22.35" hidden="false" customHeight="false" outlineLevel="0" collapsed="false">
      <c r="A353" s="7" t="s">
        <v>921</v>
      </c>
      <c r="B353" s="7" t="s">
        <v>132</v>
      </c>
      <c r="C353" s="7" t="s">
        <v>40</v>
      </c>
      <c r="D353" s="7" t="s">
        <v>99</v>
      </c>
      <c r="E353" s="8" t="s">
        <v>922</v>
      </c>
      <c r="F353" s="9" t="s">
        <v>107</v>
      </c>
      <c r="G353" s="7" t="s">
        <v>44</v>
      </c>
      <c r="H353" s="7" t="s">
        <v>45</v>
      </c>
      <c r="I353" s="7" t="s">
        <v>122</v>
      </c>
    </row>
    <row r="354" customFormat="false" ht="22.35" hidden="false" customHeight="false" outlineLevel="0" collapsed="false">
      <c r="A354" s="7" t="s">
        <v>923</v>
      </c>
      <c r="B354" s="7" t="s">
        <v>67</v>
      </c>
      <c r="C354" s="7" t="s">
        <v>55</v>
      </c>
      <c r="D354" s="7" t="s">
        <v>91</v>
      </c>
      <c r="E354" s="8" t="s">
        <v>924</v>
      </c>
      <c r="F354" s="9" t="s">
        <v>43</v>
      </c>
      <c r="G354" s="7" t="s">
        <v>69</v>
      </c>
      <c r="H354" s="7" t="s">
        <v>59</v>
      </c>
      <c r="I354" s="7" t="s">
        <v>925</v>
      </c>
    </row>
    <row r="355" customFormat="false" ht="22.35" hidden="false" customHeight="false" outlineLevel="0" collapsed="false">
      <c r="A355" s="7" t="s">
        <v>926</v>
      </c>
      <c r="B355" s="7" t="s">
        <v>39</v>
      </c>
      <c r="C355" s="7" t="s">
        <v>55</v>
      </c>
      <c r="D355" s="7" t="s">
        <v>49</v>
      </c>
      <c r="E355" s="8" t="s">
        <v>927</v>
      </c>
      <c r="F355" s="9" t="s">
        <v>51</v>
      </c>
      <c r="G355" s="7" t="s">
        <v>44</v>
      </c>
      <c r="H355" s="7" t="s">
        <v>45</v>
      </c>
      <c r="I355" s="7" t="s">
        <v>282</v>
      </c>
    </row>
    <row r="356" customFormat="false" ht="15" hidden="false" customHeight="false" outlineLevel="0" collapsed="false">
      <c r="A356" s="7" t="s">
        <v>928</v>
      </c>
      <c r="B356" s="7" t="s">
        <v>95</v>
      </c>
      <c r="C356" s="7" t="s">
        <v>48</v>
      </c>
      <c r="D356" s="7" t="s">
        <v>49</v>
      </c>
      <c r="E356" s="8" t="s">
        <v>929</v>
      </c>
      <c r="F356" s="9" t="s">
        <v>43</v>
      </c>
      <c r="G356" s="7" t="s">
        <v>44</v>
      </c>
      <c r="H356" s="7" t="s">
        <v>45</v>
      </c>
      <c r="I356" s="7" t="s">
        <v>125</v>
      </c>
    </row>
    <row r="357" customFormat="false" ht="22.35" hidden="false" customHeight="false" outlineLevel="0" collapsed="false">
      <c r="A357" s="7" t="s">
        <v>930</v>
      </c>
      <c r="B357" s="7" t="s">
        <v>84</v>
      </c>
      <c r="C357" s="7" t="s">
        <v>48</v>
      </c>
      <c r="D357" s="7" t="s">
        <v>41</v>
      </c>
      <c r="E357" s="8" t="s">
        <v>931</v>
      </c>
      <c r="F357" s="9" t="s">
        <v>51</v>
      </c>
      <c r="G357" s="7" t="s">
        <v>73</v>
      </c>
      <c r="H357" s="7" t="s">
        <v>74</v>
      </c>
      <c r="I357" s="7" t="s">
        <v>114</v>
      </c>
    </row>
    <row r="358" customFormat="false" ht="22.35" hidden="false" customHeight="false" outlineLevel="0" collapsed="false">
      <c r="A358" s="7" t="s">
        <v>932</v>
      </c>
      <c r="B358" s="7" t="s">
        <v>62</v>
      </c>
      <c r="C358" s="7" t="s">
        <v>55</v>
      </c>
      <c r="D358" s="7" t="s">
        <v>41</v>
      </c>
      <c r="E358" s="8" t="s">
        <v>933</v>
      </c>
      <c r="F358" s="9" t="s">
        <v>51</v>
      </c>
      <c r="G358" s="7" t="s">
        <v>44</v>
      </c>
      <c r="H358" s="7" t="s">
        <v>45</v>
      </c>
      <c r="I358" s="7" t="s">
        <v>89</v>
      </c>
    </row>
    <row r="359" customFormat="false" ht="15" hidden="false" customHeight="false" outlineLevel="0" collapsed="false">
      <c r="A359" s="7" t="s">
        <v>934</v>
      </c>
      <c r="B359" s="7" t="s">
        <v>84</v>
      </c>
      <c r="C359" s="7" t="s">
        <v>48</v>
      </c>
      <c r="D359" s="7" t="s">
        <v>49</v>
      </c>
      <c r="E359" s="8" t="s">
        <v>935</v>
      </c>
      <c r="F359" s="9" t="s">
        <v>107</v>
      </c>
      <c r="G359" s="7" t="s">
        <v>44</v>
      </c>
      <c r="H359" s="7" t="s">
        <v>45</v>
      </c>
      <c r="I359" s="7" t="s">
        <v>79</v>
      </c>
    </row>
    <row r="360" customFormat="false" ht="22.35" hidden="false" customHeight="false" outlineLevel="0" collapsed="false">
      <c r="A360" s="7" t="s">
        <v>936</v>
      </c>
      <c r="B360" s="7" t="s">
        <v>132</v>
      </c>
      <c r="C360" s="7" t="s">
        <v>40</v>
      </c>
      <c r="D360" s="7" t="s">
        <v>49</v>
      </c>
      <c r="E360" s="8" t="s">
        <v>937</v>
      </c>
      <c r="F360" s="9" t="s">
        <v>51</v>
      </c>
      <c r="G360" s="7" t="s">
        <v>44</v>
      </c>
      <c r="H360" s="7" t="s">
        <v>45</v>
      </c>
      <c r="I360" s="7" t="s">
        <v>186</v>
      </c>
    </row>
    <row r="361" customFormat="false" ht="22.35" hidden="false" customHeight="false" outlineLevel="0" collapsed="false">
      <c r="A361" s="7" t="s">
        <v>938</v>
      </c>
      <c r="B361" s="7" t="s">
        <v>39</v>
      </c>
      <c r="C361" s="7" t="s">
        <v>63</v>
      </c>
      <c r="D361" s="7" t="s">
        <v>91</v>
      </c>
      <c r="E361" s="8" t="s">
        <v>939</v>
      </c>
      <c r="F361" s="9" t="s">
        <v>107</v>
      </c>
      <c r="G361" s="7" t="s">
        <v>139</v>
      </c>
      <c r="H361" s="7" t="s">
        <v>74</v>
      </c>
      <c r="I361" s="7" t="s">
        <v>809</v>
      </c>
    </row>
    <row r="362" customFormat="false" ht="22.35" hidden="false" customHeight="false" outlineLevel="0" collapsed="false">
      <c r="A362" s="7" t="s">
        <v>940</v>
      </c>
      <c r="B362" s="7" t="s">
        <v>39</v>
      </c>
      <c r="C362" s="7" t="s">
        <v>48</v>
      </c>
      <c r="D362" s="7" t="s">
        <v>41</v>
      </c>
      <c r="E362" s="8" t="s">
        <v>941</v>
      </c>
      <c r="F362" s="9" t="s">
        <v>43</v>
      </c>
      <c r="G362" s="7" t="s">
        <v>44</v>
      </c>
      <c r="H362" s="7" t="s">
        <v>45</v>
      </c>
      <c r="I362" s="7" t="s">
        <v>546</v>
      </c>
    </row>
    <row r="363" customFormat="false" ht="22.35" hidden="false" customHeight="false" outlineLevel="0" collapsed="false">
      <c r="A363" s="7" t="s">
        <v>942</v>
      </c>
      <c r="B363" s="7" t="s">
        <v>39</v>
      </c>
      <c r="C363" s="7" t="s">
        <v>40</v>
      </c>
      <c r="D363" s="7" t="s">
        <v>41</v>
      </c>
      <c r="E363" s="8" t="s">
        <v>943</v>
      </c>
      <c r="F363" s="9" t="s">
        <v>43</v>
      </c>
      <c r="G363" s="7" t="s">
        <v>58</v>
      </c>
      <c r="H363" s="7" t="s">
        <v>59</v>
      </c>
      <c r="I363" s="7" t="s">
        <v>944</v>
      </c>
    </row>
    <row r="364" customFormat="false" ht="22.35" hidden="false" customHeight="false" outlineLevel="0" collapsed="false">
      <c r="A364" s="7" t="s">
        <v>945</v>
      </c>
      <c r="B364" s="7" t="s">
        <v>132</v>
      </c>
      <c r="C364" s="7" t="s">
        <v>48</v>
      </c>
      <c r="D364" s="7" t="s">
        <v>56</v>
      </c>
      <c r="E364" s="8" t="s">
        <v>946</v>
      </c>
      <c r="F364" s="9" t="s">
        <v>107</v>
      </c>
      <c r="G364" s="7" t="s">
        <v>44</v>
      </c>
      <c r="H364" s="7" t="s">
        <v>45</v>
      </c>
      <c r="I364" s="7" t="s">
        <v>215</v>
      </c>
    </row>
    <row r="365" customFormat="false" ht="22.35" hidden="false" customHeight="false" outlineLevel="0" collapsed="false">
      <c r="A365" s="7" t="s">
        <v>947</v>
      </c>
      <c r="B365" s="7" t="s">
        <v>132</v>
      </c>
      <c r="C365" s="7" t="s">
        <v>55</v>
      </c>
      <c r="D365" s="7" t="s">
        <v>41</v>
      </c>
      <c r="E365" s="8" t="s">
        <v>948</v>
      </c>
      <c r="F365" s="9" t="s">
        <v>107</v>
      </c>
      <c r="G365" s="7" t="s">
        <v>44</v>
      </c>
      <c r="H365" s="7" t="s">
        <v>45</v>
      </c>
      <c r="I365" s="7" t="s">
        <v>579</v>
      </c>
    </row>
    <row r="366" customFormat="false" ht="22.35" hidden="false" customHeight="false" outlineLevel="0" collapsed="false">
      <c r="A366" s="7" t="s">
        <v>949</v>
      </c>
      <c r="B366" s="7" t="s">
        <v>67</v>
      </c>
      <c r="C366" s="7" t="s">
        <v>40</v>
      </c>
      <c r="D366" s="7" t="s">
        <v>99</v>
      </c>
      <c r="E366" s="8" t="s">
        <v>950</v>
      </c>
      <c r="F366" s="9" t="s">
        <v>51</v>
      </c>
      <c r="G366" s="7" t="s">
        <v>44</v>
      </c>
      <c r="H366" s="7" t="s">
        <v>45</v>
      </c>
      <c r="I366" s="7" t="s">
        <v>108</v>
      </c>
    </row>
    <row r="367" customFormat="false" ht="22.35" hidden="false" customHeight="false" outlineLevel="0" collapsed="false">
      <c r="A367" s="7" t="s">
        <v>951</v>
      </c>
      <c r="B367" s="7" t="s">
        <v>84</v>
      </c>
      <c r="C367" s="7" t="s">
        <v>63</v>
      </c>
      <c r="D367" s="7" t="s">
        <v>49</v>
      </c>
      <c r="E367" s="8" t="s">
        <v>952</v>
      </c>
      <c r="F367" s="9" t="s">
        <v>43</v>
      </c>
      <c r="G367" s="7" t="s">
        <v>44</v>
      </c>
      <c r="H367" s="7" t="s">
        <v>45</v>
      </c>
      <c r="I367" s="7" t="s">
        <v>282</v>
      </c>
    </row>
    <row r="368" customFormat="false" ht="22.35" hidden="false" customHeight="false" outlineLevel="0" collapsed="false">
      <c r="A368" s="7" t="s">
        <v>953</v>
      </c>
      <c r="B368" s="7" t="s">
        <v>39</v>
      </c>
      <c r="C368" s="7" t="s">
        <v>63</v>
      </c>
      <c r="D368" s="7" t="s">
        <v>41</v>
      </c>
      <c r="E368" s="8" t="s">
        <v>954</v>
      </c>
      <c r="F368" s="9" t="s">
        <v>51</v>
      </c>
      <c r="G368" s="7" t="s">
        <v>73</v>
      </c>
      <c r="H368" s="7" t="s">
        <v>74</v>
      </c>
      <c r="I368" s="7" t="s">
        <v>183</v>
      </c>
    </row>
    <row r="369" customFormat="false" ht="15" hidden="false" customHeight="false" outlineLevel="0" collapsed="false">
      <c r="A369" s="7" t="s">
        <v>955</v>
      </c>
      <c r="B369" s="7" t="s">
        <v>132</v>
      </c>
      <c r="C369" s="7" t="s">
        <v>40</v>
      </c>
      <c r="D369" s="7" t="s">
        <v>56</v>
      </c>
      <c r="E369" s="8" t="s">
        <v>956</v>
      </c>
      <c r="F369" s="9" t="s">
        <v>43</v>
      </c>
      <c r="G369" s="7" t="s">
        <v>44</v>
      </c>
      <c r="H369" s="7" t="s">
        <v>45</v>
      </c>
      <c r="I369" s="7" t="s">
        <v>957</v>
      </c>
    </row>
    <row r="370" customFormat="false" ht="22.35" hidden="false" customHeight="false" outlineLevel="0" collapsed="false">
      <c r="A370" s="7" t="s">
        <v>958</v>
      </c>
      <c r="B370" s="7" t="s">
        <v>95</v>
      </c>
      <c r="C370" s="7" t="s">
        <v>63</v>
      </c>
      <c r="D370" s="7" t="s">
        <v>49</v>
      </c>
      <c r="E370" s="8" t="s">
        <v>959</v>
      </c>
      <c r="F370" s="9" t="s">
        <v>43</v>
      </c>
      <c r="G370" s="7" t="s">
        <v>44</v>
      </c>
      <c r="H370" s="7" t="s">
        <v>45</v>
      </c>
      <c r="I370" s="7" t="s">
        <v>186</v>
      </c>
    </row>
    <row r="371" customFormat="false" ht="22.35" hidden="false" customHeight="false" outlineLevel="0" collapsed="false">
      <c r="A371" s="7" t="s">
        <v>960</v>
      </c>
      <c r="B371" s="7" t="s">
        <v>67</v>
      </c>
      <c r="C371" s="7" t="s">
        <v>63</v>
      </c>
      <c r="D371" s="7" t="s">
        <v>99</v>
      </c>
      <c r="E371" s="8" t="s">
        <v>961</v>
      </c>
      <c r="F371" s="9" t="s">
        <v>43</v>
      </c>
      <c r="G371" s="7" t="s">
        <v>73</v>
      </c>
      <c r="H371" s="7" t="s">
        <v>74</v>
      </c>
      <c r="I371" s="7" t="s">
        <v>175</v>
      </c>
    </row>
    <row r="372" customFormat="false" ht="22.35" hidden="false" customHeight="false" outlineLevel="0" collapsed="false">
      <c r="A372" s="7" t="s">
        <v>962</v>
      </c>
      <c r="B372" s="7" t="s">
        <v>67</v>
      </c>
      <c r="C372" s="7" t="s">
        <v>48</v>
      </c>
      <c r="D372" s="7" t="s">
        <v>41</v>
      </c>
      <c r="E372" s="8" t="s">
        <v>963</v>
      </c>
      <c r="F372" s="9" t="s">
        <v>51</v>
      </c>
      <c r="G372" s="7" t="s">
        <v>69</v>
      </c>
      <c r="H372" s="7" t="s">
        <v>59</v>
      </c>
      <c r="I372" s="7" t="s">
        <v>205</v>
      </c>
    </row>
    <row r="373" customFormat="false" ht="22.35" hidden="false" customHeight="false" outlineLevel="0" collapsed="false">
      <c r="A373" s="7" t="s">
        <v>964</v>
      </c>
      <c r="B373" s="7" t="s">
        <v>84</v>
      </c>
      <c r="C373" s="7" t="s">
        <v>63</v>
      </c>
      <c r="D373" s="7" t="s">
        <v>91</v>
      </c>
      <c r="E373" s="8" t="s">
        <v>965</v>
      </c>
      <c r="F373" s="9" t="s">
        <v>43</v>
      </c>
      <c r="G373" s="7" t="s">
        <v>44</v>
      </c>
      <c r="H373" s="7" t="s">
        <v>45</v>
      </c>
      <c r="I373" s="7" t="s">
        <v>966</v>
      </c>
    </row>
    <row r="374" customFormat="false" ht="22.35" hidden="false" customHeight="false" outlineLevel="0" collapsed="false">
      <c r="A374" s="7" t="s">
        <v>967</v>
      </c>
      <c r="B374" s="7" t="s">
        <v>95</v>
      </c>
      <c r="C374" s="7" t="s">
        <v>55</v>
      </c>
      <c r="D374" s="7" t="s">
        <v>56</v>
      </c>
      <c r="E374" s="8" t="s">
        <v>968</v>
      </c>
      <c r="F374" s="9" t="s">
        <v>107</v>
      </c>
      <c r="G374" s="7" t="s">
        <v>44</v>
      </c>
      <c r="H374" s="7" t="s">
        <v>45</v>
      </c>
      <c r="I374" s="7" t="s">
        <v>969</v>
      </c>
    </row>
    <row r="375" customFormat="false" ht="22.35" hidden="false" customHeight="false" outlineLevel="0" collapsed="false">
      <c r="A375" s="7" t="s">
        <v>970</v>
      </c>
      <c r="B375" s="7" t="s">
        <v>67</v>
      </c>
      <c r="C375" s="7" t="s">
        <v>55</v>
      </c>
      <c r="D375" s="7" t="s">
        <v>41</v>
      </c>
      <c r="E375" s="8" t="s">
        <v>971</v>
      </c>
      <c r="F375" s="9" t="s">
        <v>107</v>
      </c>
      <c r="G375" s="7" t="s">
        <v>44</v>
      </c>
      <c r="H375" s="7" t="s">
        <v>45</v>
      </c>
      <c r="I375" s="7" t="s">
        <v>944</v>
      </c>
    </row>
    <row r="376" customFormat="false" ht="22.35" hidden="false" customHeight="false" outlineLevel="0" collapsed="false">
      <c r="A376" s="7" t="s">
        <v>972</v>
      </c>
      <c r="B376" s="7" t="s">
        <v>62</v>
      </c>
      <c r="C376" s="7" t="s">
        <v>55</v>
      </c>
      <c r="D376" s="7" t="s">
        <v>91</v>
      </c>
      <c r="E376" s="8" t="s">
        <v>973</v>
      </c>
      <c r="F376" s="9" t="s">
        <v>43</v>
      </c>
      <c r="G376" s="7" t="s">
        <v>69</v>
      </c>
      <c r="H376" s="7" t="s">
        <v>59</v>
      </c>
      <c r="I376" s="7" t="s">
        <v>974</v>
      </c>
    </row>
    <row r="377" customFormat="false" ht="22.35" hidden="false" customHeight="false" outlineLevel="0" collapsed="false">
      <c r="A377" s="7" t="s">
        <v>975</v>
      </c>
      <c r="B377" s="7" t="s">
        <v>132</v>
      </c>
      <c r="C377" s="7" t="s">
        <v>63</v>
      </c>
      <c r="D377" s="7" t="s">
        <v>56</v>
      </c>
      <c r="E377" s="8" t="s">
        <v>976</v>
      </c>
      <c r="F377" s="9" t="s">
        <v>51</v>
      </c>
      <c r="G377" s="7" t="s">
        <v>44</v>
      </c>
      <c r="H377" s="7" t="s">
        <v>45</v>
      </c>
      <c r="I377" s="7" t="s">
        <v>140</v>
      </c>
    </row>
    <row r="378" customFormat="false" ht="22.35" hidden="false" customHeight="false" outlineLevel="0" collapsed="false">
      <c r="A378" s="7" t="s">
        <v>977</v>
      </c>
      <c r="B378" s="7" t="s">
        <v>54</v>
      </c>
      <c r="C378" s="7" t="s">
        <v>55</v>
      </c>
      <c r="D378" s="7" t="s">
        <v>41</v>
      </c>
      <c r="E378" s="8" t="s">
        <v>978</v>
      </c>
      <c r="F378" s="9" t="s">
        <v>107</v>
      </c>
      <c r="G378" s="7" t="s">
        <v>139</v>
      </c>
      <c r="H378" s="7" t="s">
        <v>74</v>
      </c>
      <c r="I378" s="7" t="s">
        <v>75</v>
      </c>
    </row>
    <row r="379" customFormat="false" ht="15" hidden="false" customHeight="false" outlineLevel="0" collapsed="false">
      <c r="A379" s="7" t="s">
        <v>979</v>
      </c>
      <c r="B379" s="7" t="s">
        <v>95</v>
      </c>
      <c r="C379" s="7" t="s">
        <v>40</v>
      </c>
      <c r="D379" s="7" t="s">
        <v>99</v>
      </c>
      <c r="E379" s="8" t="s">
        <v>980</v>
      </c>
      <c r="F379" s="9" t="s">
        <v>43</v>
      </c>
      <c r="G379" s="7" t="s">
        <v>44</v>
      </c>
      <c r="H379" s="7" t="s">
        <v>45</v>
      </c>
      <c r="I379" s="7" t="s">
        <v>122</v>
      </c>
    </row>
    <row r="380" customFormat="false" ht="15" hidden="false" customHeight="false" outlineLevel="0" collapsed="false">
      <c r="A380" s="7" t="s">
        <v>981</v>
      </c>
      <c r="B380" s="7" t="s">
        <v>95</v>
      </c>
      <c r="C380" s="7" t="s">
        <v>63</v>
      </c>
      <c r="D380" s="7" t="s">
        <v>49</v>
      </c>
      <c r="E380" s="8" t="s">
        <v>982</v>
      </c>
      <c r="F380" s="9" t="s">
        <v>43</v>
      </c>
      <c r="G380" s="7" t="s">
        <v>44</v>
      </c>
      <c r="H380" s="7" t="s">
        <v>45</v>
      </c>
      <c r="I380" s="7" t="s">
        <v>186</v>
      </c>
    </row>
    <row r="381" customFormat="false" ht="22.35" hidden="false" customHeight="false" outlineLevel="0" collapsed="false">
      <c r="A381" s="7" t="s">
        <v>983</v>
      </c>
      <c r="B381" s="7" t="s">
        <v>132</v>
      </c>
      <c r="C381" s="7" t="s">
        <v>63</v>
      </c>
      <c r="D381" s="7" t="s">
        <v>41</v>
      </c>
      <c r="E381" s="8" t="s">
        <v>984</v>
      </c>
      <c r="F381" s="9" t="s">
        <v>107</v>
      </c>
      <c r="G381" s="7" t="s">
        <v>139</v>
      </c>
      <c r="H381" s="7" t="s">
        <v>74</v>
      </c>
      <c r="I381" s="7" t="s">
        <v>311</v>
      </c>
    </row>
    <row r="382" customFormat="false" ht="22.35" hidden="false" customHeight="false" outlineLevel="0" collapsed="false">
      <c r="A382" s="7" t="s">
        <v>985</v>
      </c>
      <c r="B382" s="7" t="s">
        <v>84</v>
      </c>
      <c r="C382" s="7" t="s">
        <v>55</v>
      </c>
      <c r="D382" s="7" t="s">
        <v>99</v>
      </c>
      <c r="E382" s="8" t="s">
        <v>986</v>
      </c>
      <c r="F382" s="9" t="s">
        <v>43</v>
      </c>
      <c r="G382" s="7" t="s">
        <v>44</v>
      </c>
      <c r="H382" s="7" t="s">
        <v>45</v>
      </c>
      <c r="I382" s="7" t="s">
        <v>175</v>
      </c>
    </row>
    <row r="383" customFormat="false" ht="22.35" hidden="false" customHeight="false" outlineLevel="0" collapsed="false">
      <c r="A383" s="7" t="s">
        <v>987</v>
      </c>
      <c r="B383" s="7" t="s">
        <v>77</v>
      </c>
      <c r="C383" s="7" t="s">
        <v>63</v>
      </c>
      <c r="D383" s="7" t="s">
        <v>91</v>
      </c>
      <c r="E383" s="8" t="s">
        <v>988</v>
      </c>
      <c r="F383" s="9" t="s">
        <v>107</v>
      </c>
      <c r="G383" s="7" t="s">
        <v>139</v>
      </c>
      <c r="H383" s="7" t="s">
        <v>74</v>
      </c>
      <c r="I383" s="7" t="s">
        <v>989</v>
      </c>
    </row>
    <row r="384" customFormat="false" ht="22.35" hidden="false" customHeight="false" outlineLevel="0" collapsed="false">
      <c r="A384" s="7" t="s">
        <v>990</v>
      </c>
      <c r="B384" s="7" t="s">
        <v>62</v>
      </c>
      <c r="C384" s="7" t="s">
        <v>63</v>
      </c>
      <c r="D384" s="7" t="s">
        <v>41</v>
      </c>
      <c r="E384" s="8" t="s">
        <v>991</v>
      </c>
      <c r="F384" s="9" t="s">
        <v>51</v>
      </c>
      <c r="G384" s="7" t="s">
        <v>73</v>
      </c>
      <c r="H384" s="7" t="s">
        <v>74</v>
      </c>
      <c r="I384" s="7" t="s">
        <v>992</v>
      </c>
    </row>
    <row r="385" customFormat="false" ht="22.35" hidden="false" customHeight="false" outlineLevel="0" collapsed="false">
      <c r="A385" s="7" t="s">
        <v>993</v>
      </c>
      <c r="B385" s="7" t="s">
        <v>95</v>
      </c>
      <c r="C385" s="7" t="s">
        <v>40</v>
      </c>
      <c r="D385" s="7" t="s">
        <v>49</v>
      </c>
      <c r="E385" s="8" t="s">
        <v>994</v>
      </c>
      <c r="F385" s="9" t="s">
        <v>51</v>
      </c>
      <c r="G385" s="7" t="s">
        <v>44</v>
      </c>
      <c r="H385" s="7" t="s">
        <v>45</v>
      </c>
      <c r="I385" s="7" t="s">
        <v>79</v>
      </c>
    </row>
    <row r="386" customFormat="false" ht="22.35" hidden="false" customHeight="false" outlineLevel="0" collapsed="false">
      <c r="A386" s="7" t="s">
        <v>995</v>
      </c>
      <c r="B386" s="7" t="s">
        <v>39</v>
      </c>
      <c r="C386" s="7" t="s">
        <v>63</v>
      </c>
      <c r="D386" s="7" t="s">
        <v>41</v>
      </c>
      <c r="E386" s="8" t="s">
        <v>996</v>
      </c>
      <c r="F386" s="9" t="s">
        <v>51</v>
      </c>
      <c r="G386" s="7" t="s">
        <v>73</v>
      </c>
      <c r="H386" s="7" t="s">
        <v>74</v>
      </c>
      <c r="I386" s="7" t="s">
        <v>546</v>
      </c>
    </row>
    <row r="387" customFormat="false" ht="15" hidden="false" customHeight="false" outlineLevel="0" collapsed="false">
      <c r="A387" s="7" t="s">
        <v>997</v>
      </c>
      <c r="B387" s="7" t="s">
        <v>67</v>
      </c>
      <c r="C387" s="7" t="s">
        <v>48</v>
      </c>
      <c r="D387" s="7" t="s">
        <v>91</v>
      </c>
      <c r="E387" s="8" t="s">
        <v>998</v>
      </c>
      <c r="F387" s="9" t="s">
        <v>51</v>
      </c>
      <c r="G387" s="7" t="s">
        <v>44</v>
      </c>
      <c r="H387" s="7" t="s">
        <v>45</v>
      </c>
      <c r="I387" s="7" t="s">
        <v>999</v>
      </c>
    </row>
    <row r="388" customFormat="false" ht="22.35" hidden="false" customHeight="false" outlineLevel="0" collapsed="false">
      <c r="A388" s="7" t="s">
        <v>1000</v>
      </c>
      <c r="B388" s="7" t="s">
        <v>77</v>
      </c>
      <c r="C388" s="7" t="s">
        <v>55</v>
      </c>
      <c r="D388" s="7" t="s">
        <v>99</v>
      </c>
      <c r="E388" s="8" t="s">
        <v>1001</v>
      </c>
      <c r="F388" s="9" t="s">
        <v>51</v>
      </c>
      <c r="G388" s="7" t="s">
        <v>44</v>
      </c>
      <c r="H388" s="7" t="s">
        <v>45</v>
      </c>
      <c r="I388" s="7" t="s">
        <v>101</v>
      </c>
    </row>
    <row r="389" customFormat="false" ht="22.35" hidden="false" customHeight="false" outlineLevel="0" collapsed="false">
      <c r="A389" s="7" t="s">
        <v>1002</v>
      </c>
      <c r="B389" s="7" t="s">
        <v>62</v>
      </c>
      <c r="C389" s="7" t="s">
        <v>63</v>
      </c>
      <c r="D389" s="7" t="s">
        <v>41</v>
      </c>
      <c r="E389" s="8" t="s">
        <v>1003</v>
      </c>
      <c r="F389" s="9" t="s">
        <v>107</v>
      </c>
      <c r="G389" s="7" t="s">
        <v>139</v>
      </c>
      <c r="H389" s="7" t="s">
        <v>74</v>
      </c>
      <c r="I389" s="7" t="s">
        <v>75</v>
      </c>
    </row>
    <row r="390" customFormat="false" ht="22.35" hidden="false" customHeight="false" outlineLevel="0" collapsed="false">
      <c r="A390" s="7" t="s">
        <v>1004</v>
      </c>
      <c r="B390" s="7" t="s">
        <v>67</v>
      </c>
      <c r="C390" s="7" t="s">
        <v>48</v>
      </c>
      <c r="D390" s="7" t="s">
        <v>99</v>
      </c>
      <c r="E390" s="8" t="s">
        <v>1005</v>
      </c>
      <c r="F390" s="9" t="s">
        <v>51</v>
      </c>
      <c r="G390" s="7" t="s">
        <v>44</v>
      </c>
      <c r="H390" s="7" t="s">
        <v>45</v>
      </c>
      <c r="I390" s="7" t="s">
        <v>108</v>
      </c>
    </row>
    <row r="391" customFormat="false" ht="15" hidden="false" customHeight="false" outlineLevel="0" collapsed="false">
      <c r="A391" s="7" t="s">
        <v>1006</v>
      </c>
      <c r="B391" s="7" t="s">
        <v>54</v>
      </c>
      <c r="C391" s="7" t="s">
        <v>55</v>
      </c>
      <c r="D391" s="7" t="s">
        <v>49</v>
      </c>
      <c r="E391" s="8" t="s">
        <v>1007</v>
      </c>
      <c r="F391" s="9" t="s">
        <v>43</v>
      </c>
      <c r="G391" s="7" t="s">
        <v>44</v>
      </c>
      <c r="H391" s="7" t="s">
        <v>45</v>
      </c>
      <c r="I391" s="7" t="s">
        <v>79</v>
      </c>
    </row>
    <row r="392" customFormat="false" ht="22.35" hidden="false" customHeight="false" outlineLevel="0" collapsed="false">
      <c r="A392" s="7" t="s">
        <v>1008</v>
      </c>
      <c r="B392" s="7" t="s">
        <v>39</v>
      </c>
      <c r="C392" s="7" t="s">
        <v>55</v>
      </c>
      <c r="D392" s="7" t="s">
        <v>41</v>
      </c>
      <c r="E392" s="8" t="s">
        <v>1009</v>
      </c>
      <c r="F392" s="9" t="s">
        <v>43</v>
      </c>
      <c r="G392" s="7" t="s">
        <v>58</v>
      </c>
      <c r="H392" s="7" t="s">
        <v>59</v>
      </c>
      <c r="I392" s="7" t="s">
        <v>508</v>
      </c>
    </row>
    <row r="393" customFormat="false" ht="22.35" hidden="false" customHeight="false" outlineLevel="0" collapsed="false">
      <c r="A393" s="7" t="s">
        <v>1010</v>
      </c>
      <c r="B393" s="7" t="s">
        <v>54</v>
      </c>
      <c r="C393" s="7" t="s">
        <v>48</v>
      </c>
      <c r="D393" s="7" t="s">
        <v>41</v>
      </c>
      <c r="E393" s="8" t="s">
        <v>1011</v>
      </c>
      <c r="F393" s="9" t="s">
        <v>51</v>
      </c>
      <c r="G393" s="7" t="s">
        <v>73</v>
      </c>
      <c r="H393" s="7" t="s">
        <v>74</v>
      </c>
      <c r="I393" s="7" t="s">
        <v>183</v>
      </c>
    </row>
    <row r="394" customFormat="false" ht="22.35" hidden="false" customHeight="false" outlineLevel="0" collapsed="false">
      <c r="A394" s="7" t="s">
        <v>1012</v>
      </c>
      <c r="B394" s="7" t="s">
        <v>62</v>
      </c>
      <c r="C394" s="7" t="s">
        <v>48</v>
      </c>
      <c r="D394" s="7" t="s">
        <v>56</v>
      </c>
      <c r="E394" s="8" t="s">
        <v>1013</v>
      </c>
      <c r="F394" s="9" t="s">
        <v>107</v>
      </c>
      <c r="G394" s="7" t="s">
        <v>73</v>
      </c>
      <c r="H394" s="7" t="s">
        <v>74</v>
      </c>
      <c r="I394" s="7" t="s">
        <v>1014</v>
      </c>
    </row>
    <row r="395" customFormat="false" ht="15" hidden="false" customHeight="false" outlineLevel="0" collapsed="false">
      <c r="A395" s="7" t="s">
        <v>1015</v>
      </c>
      <c r="B395" s="7" t="s">
        <v>39</v>
      </c>
      <c r="C395" s="7" t="s">
        <v>55</v>
      </c>
      <c r="D395" s="7" t="s">
        <v>99</v>
      </c>
      <c r="E395" s="8" t="s">
        <v>1016</v>
      </c>
      <c r="F395" s="9" t="s">
        <v>107</v>
      </c>
      <c r="G395" s="7" t="s">
        <v>139</v>
      </c>
      <c r="H395" s="7" t="s">
        <v>74</v>
      </c>
      <c r="I395" s="7" t="s">
        <v>101</v>
      </c>
    </row>
    <row r="396" customFormat="false" ht="22.35" hidden="false" customHeight="false" outlineLevel="0" collapsed="false">
      <c r="A396" s="7" t="s">
        <v>1017</v>
      </c>
      <c r="B396" s="7" t="s">
        <v>54</v>
      </c>
      <c r="C396" s="7" t="s">
        <v>55</v>
      </c>
      <c r="D396" s="7" t="s">
        <v>99</v>
      </c>
      <c r="E396" s="8" t="s">
        <v>1018</v>
      </c>
      <c r="F396" s="9" t="s">
        <v>107</v>
      </c>
      <c r="G396" s="7" t="s">
        <v>139</v>
      </c>
      <c r="H396" s="7" t="s">
        <v>74</v>
      </c>
      <c r="I396" s="7" t="s">
        <v>104</v>
      </c>
    </row>
    <row r="397" customFormat="false" ht="22.35" hidden="false" customHeight="false" outlineLevel="0" collapsed="false">
      <c r="A397" s="7" t="s">
        <v>1019</v>
      </c>
      <c r="B397" s="7" t="s">
        <v>54</v>
      </c>
      <c r="C397" s="7" t="s">
        <v>63</v>
      </c>
      <c r="D397" s="7" t="s">
        <v>91</v>
      </c>
      <c r="E397" s="8" t="s">
        <v>1020</v>
      </c>
      <c r="F397" s="9" t="s">
        <v>51</v>
      </c>
      <c r="G397" s="7" t="s">
        <v>69</v>
      </c>
      <c r="H397" s="7" t="s">
        <v>59</v>
      </c>
      <c r="I397" s="7" t="s">
        <v>1021</v>
      </c>
    </row>
    <row r="398" customFormat="false" ht="22.35" hidden="false" customHeight="false" outlineLevel="0" collapsed="false">
      <c r="A398" s="7" t="s">
        <v>1022</v>
      </c>
      <c r="B398" s="7" t="s">
        <v>84</v>
      </c>
      <c r="C398" s="7" t="s">
        <v>40</v>
      </c>
      <c r="D398" s="7" t="s">
        <v>56</v>
      </c>
      <c r="E398" s="8" t="s">
        <v>1023</v>
      </c>
      <c r="F398" s="9" t="s">
        <v>107</v>
      </c>
      <c r="G398" s="7" t="s">
        <v>73</v>
      </c>
      <c r="H398" s="7" t="s">
        <v>74</v>
      </c>
      <c r="I398" s="7" t="s">
        <v>1024</v>
      </c>
    </row>
    <row r="399" customFormat="false" ht="22.35" hidden="false" customHeight="false" outlineLevel="0" collapsed="false">
      <c r="A399" s="7" t="s">
        <v>1025</v>
      </c>
      <c r="B399" s="7" t="s">
        <v>84</v>
      </c>
      <c r="C399" s="7" t="s">
        <v>63</v>
      </c>
      <c r="D399" s="7" t="s">
        <v>49</v>
      </c>
      <c r="E399" s="8" t="s">
        <v>1026</v>
      </c>
      <c r="F399" s="9" t="s">
        <v>43</v>
      </c>
      <c r="G399" s="7" t="s">
        <v>44</v>
      </c>
      <c r="H399" s="7" t="s">
        <v>45</v>
      </c>
      <c r="I399" s="7" t="s">
        <v>136</v>
      </c>
    </row>
    <row r="400" customFormat="false" ht="15" hidden="false" customHeight="false" outlineLevel="0" collapsed="false">
      <c r="A400" s="7" t="s">
        <v>1027</v>
      </c>
      <c r="B400" s="7" t="s">
        <v>54</v>
      </c>
      <c r="C400" s="7" t="s">
        <v>40</v>
      </c>
      <c r="D400" s="7" t="s">
        <v>41</v>
      </c>
      <c r="E400" s="8" t="s">
        <v>1028</v>
      </c>
      <c r="F400" s="9" t="s">
        <v>43</v>
      </c>
      <c r="G400" s="7" t="s">
        <v>58</v>
      </c>
      <c r="H400" s="7" t="s">
        <v>59</v>
      </c>
      <c r="I400" s="7" t="s">
        <v>416</v>
      </c>
    </row>
    <row r="401" customFormat="false" ht="22.35" hidden="false" customHeight="false" outlineLevel="0" collapsed="false">
      <c r="A401" s="7" t="s">
        <v>1029</v>
      </c>
      <c r="B401" s="7" t="s">
        <v>67</v>
      </c>
      <c r="C401" s="7" t="s">
        <v>55</v>
      </c>
      <c r="D401" s="7" t="s">
        <v>91</v>
      </c>
      <c r="E401" s="8" t="s">
        <v>1030</v>
      </c>
      <c r="F401" s="9" t="s">
        <v>43</v>
      </c>
      <c r="G401" s="7" t="s">
        <v>69</v>
      </c>
      <c r="H401" s="7" t="s">
        <v>59</v>
      </c>
      <c r="I401" s="7" t="s">
        <v>1031</v>
      </c>
    </row>
  </sheetData>
  <autoFilter ref="A1:I4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8"/>
    <col collapsed="false" customWidth="true" hidden="false" outlineLevel="0" max="3" min="3" style="0" width="17"/>
    <col collapsed="false" customWidth="true" hidden="false" outlineLevel="0" max="4" min="4" style="0" width="22"/>
    <col collapsed="false" customWidth="true" hidden="false" outlineLevel="0" max="5" min="5" style="0" width="27"/>
    <col collapsed="false" customWidth="true" hidden="false" outlineLevel="0" max="6" min="6" style="0" width="12"/>
    <col collapsed="false" customWidth="true" hidden="false" outlineLevel="0" max="7" min="7" style="0" width="16"/>
    <col collapsed="false" customWidth="true" hidden="false" outlineLevel="0" max="8" min="8" style="0" width="11"/>
    <col collapsed="false" customWidth="true" hidden="false" outlineLevel="0" max="11" min="9" style="0" width="12"/>
    <col collapsed="false" customWidth="true" hidden="false" outlineLevel="0" max="12" min="12" style="0" width="10"/>
    <col collapsed="false" customWidth="true" hidden="false" outlineLevel="0" max="13" min="13" style="0" width="11"/>
    <col collapsed="false" customWidth="true" hidden="false" outlineLevel="0" max="14" min="14" style="0" width="12"/>
  </cols>
  <sheetData>
    <row r="1" customFormat="false" ht="23.85" hidden="false" customHeight="false" outlineLevel="0" collapsed="false">
      <c r="A1" s="6" t="s">
        <v>1032</v>
      </c>
      <c r="B1" s="6" t="s">
        <v>1033</v>
      </c>
      <c r="C1" s="6" t="s">
        <v>1034</v>
      </c>
      <c r="D1" s="6" t="s">
        <v>1035</v>
      </c>
      <c r="E1" s="6" t="s">
        <v>1036</v>
      </c>
      <c r="F1" s="6" t="s">
        <v>1037</v>
      </c>
      <c r="G1" s="6" t="s">
        <v>1038</v>
      </c>
      <c r="H1" s="6" t="s">
        <v>1039</v>
      </c>
      <c r="I1" s="6" t="s">
        <v>1040</v>
      </c>
      <c r="J1" s="6" t="s">
        <v>1041</v>
      </c>
      <c r="K1" s="6" t="s">
        <v>1042</v>
      </c>
      <c r="L1" s="6" t="s">
        <v>1043</v>
      </c>
      <c r="M1" s="6" t="s">
        <v>1044</v>
      </c>
      <c r="N1" s="6" t="s">
        <v>1045</v>
      </c>
    </row>
    <row r="2" customFormat="false" ht="15" hidden="false" customHeight="false" outlineLevel="0" collapsed="false">
      <c r="A2" s="7" t="s">
        <v>1046</v>
      </c>
      <c r="B2" s="7" t="s">
        <v>1047</v>
      </c>
      <c r="C2" s="7" t="s">
        <v>1048</v>
      </c>
      <c r="D2" s="7" t="s">
        <v>1049</v>
      </c>
      <c r="E2" s="7" t="s">
        <v>56</v>
      </c>
      <c r="F2" s="7" t="s">
        <v>1050</v>
      </c>
      <c r="G2" s="10" t="n">
        <v>5000</v>
      </c>
      <c r="H2" s="11" t="n">
        <v>5.23</v>
      </c>
      <c r="I2" s="11" t="n">
        <v>5.23</v>
      </c>
      <c r="J2" s="11" t="n">
        <v>5.23</v>
      </c>
      <c r="K2" s="11" t="n">
        <v>5.39</v>
      </c>
      <c r="L2" s="11" t="n">
        <v>5.67</v>
      </c>
      <c r="M2" s="11" t="n">
        <v>7.06</v>
      </c>
      <c r="N2" s="12" t="n">
        <v>0.254413</v>
      </c>
    </row>
    <row r="3" customFormat="false" ht="15" hidden="false" customHeight="false" outlineLevel="0" collapsed="false">
      <c r="A3" s="7" t="s">
        <v>1051</v>
      </c>
      <c r="B3" s="7" t="s">
        <v>1052</v>
      </c>
      <c r="C3" s="7" t="s">
        <v>1048</v>
      </c>
      <c r="D3" s="7" t="s">
        <v>1049</v>
      </c>
      <c r="E3" s="7" t="s">
        <v>56</v>
      </c>
      <c r="F3" s="7" t="s">
        <v>1053</v>
      </c>
      <c r="G3" s="10" t="n">
        <v>0</v>
      </c>
      <c r="H3" s="11" t="n">
        <v>4.39</v>
      </c>
      <c r="I3" s="11" t="n">
        <v>5.47</v>
      </c>
      <c r="J3" s="11" t="n">
        <v>5.47</v>
      </c>
      <c r="K3" s="11" t="n">
        <v>3.99</v>
      </c>
      <c r="L3" s="11" t="n">
        <v>4.24</v>
      </c>
      <c r="M3" s="11" t="n">
        <v>5.72</v>
      </c>
      <c r="N3" s="12" t="n">
        <v>35.322377</v>
      </c>
    </row>
    <row r="4" customFormat="false" ht="15" hidden="false" customHeight="false" outlineLevel="0" collapsed="false">
      <c r="A4" s="7" t="s">
        <v>1054</v>
      </c>
      <c r="B4" s="7" t="s">
        <v>1055</v>
      </c>
      <c r="C4" s="7" t="s">
        <v>1048</v>
      </c>
      <c r="D4" s="7" t="s">
        <v>1049</v>
      </c>
      <c r="E4" s="7" t="s">
        <v>56</v>
      </c>
      <c r="F4" s="7" t="s">
        <v>1050</v>
      </c>
      <c r="G4" s="10" t="n">
        <v>0</v>
      </c>
      <c r="H4" s="11" t="n">
        <v>3.95</v>
      </c>
      <c r="I4" s="11" t="n">
        <v>3.95</v>
      </c>
      <c r="J4" s="11" t="n">
        <v>3.95</v>
      </c>
      <c r="K4" s="11" t="n">
        <v>4.13</v>
      </c>
      <c r="L4" s="11" t="n">
        <v>4.42</v>
      </c>
      <c r="M4" s="11" t="n">
        <v>5.81</v>
      </c>
      <c r="N4" s="12" t="n">
        <v>20.43251</v>
      </c>
    </row>
    <row r="5" customFormat="false" ht="15" hidden="false" customHeight="false" outlineLevel="0" collapsed="false">
      <c r="A5" s="7" t="s">
        <v>1054</v>
      </c>
      <c r="B5" s="7" t="s">
        <v>1056</v>
      </c>
      <c r="C5" s="7" t="s">
        <v>1048</v>
      </c>
      <c r="D5" s="7" t="s">
        <v>1049</v>
      </c>
      <c r="E5" s="7" t="s">
        <v>56</v>
      </c>
      <c r="F5" s="7" t="s">
        <v>1050</v>
      </c>
      <c r="G5" s="10" t="n">
        <v>1000000</v>
      </c>
      <c r="H5" s="11" t="n">
        <v>4.1</v>
      </c>
      <c r="I5" s="11" t="n">
        <v>4.1</v>
      </c>
      <c r="J5" s="11" t="n">
        <v>4.1</v>
      </c>
      <c r="K5" s="11" t="n">
        <v>4.28</v>
      </c>
      <c r="L5" s="11" t="n">
        <v>4.57</v>
      </c>
      <c r="M5" s="11" t="n">
        <v>5.95</v>
      </c>
      <c r="N5" s="12" t="n">
        <v>21.093226</v>
      </c>
    </row>
    <row r="6" customFormat="false" ht="15" hidden="false" customHeight="false" outlineLevel="0" collapsed="false">
      <c r="A6" s="7" t="s">
        <v>1054</v>
      </c>
      <c r="B6" s="7" t="s">
        <v>1057</v>
      </c>
      <c r="C6" s="7" t="s">
        <v>1048</v>
      </c>
      <c r="D6" s="7" t="s">
        <v>1049</v>
      </c>
      <c r="E6" s="7" t="s">
        <v>56</v>
      </c>
      <c r="F6" s="7" t="s">
        <v>1050</v>
      </c>
      <c r="G6" s="10" t="n">
        <v>20000000</v>
      </c>
      <c r="H6" s="11" t="n">
        <v>4.42</v>
      </c>
      <c r="I6" s="11" t="n">
        <v>4.43</v>
      </c>
      <c r="J6" s="11" t="n">
        <v>4.43</v>
      </c>
      <c r="K6" s="11" t="n">
        <v>4.61</v>
      </c>
      <c r="L6" s="11" t="n">
        <v>4.89</v>
      </c>
      <c r="M6" s="11" t="n">
        <v>6.27</v>
      </c>
      <c r="N6" s="12" t="n">
        <v>21.657065</v>
      </c>
    </row>
    <row r="7" customFormat="false" ht="15" hidden="false" customHeight="false" outlineLevel="0" collapsed="false">
      <c r="A7" s="7" t="s">
        <v>1054</v>
      </c>
      <c r="B7" s="7" t="s">
        <v>1058</v>
      </c>
      <c r="C7" s="7" t="s">
        <v>1048</v>
      </c>
      <c r="D7" s="7" t="s">
        <v>1049</v>
      </c>
      <c r="E7" s="7" t="s">
        <v>56</v>
      </c>
      <c r="F7" s="7" t="s">
        <v>1050</v>
      </c>
      <c r="G7" s="10" t="n">
        <v>150000000</v>
      </c>
      <c r="H7" s="11" t="n">
        <v>5.27</v>
      </c>
      <c r="I7" s="11" t="n">
        <v>5.27</v>
      </c>
      <c r="J7" s="11" t="n">
        <v>5.27</v>
      </c>
      <c r="K7" s="11" t="n">
        <v>5.45</v>
      </c>
      <c r="L7" s="11" t="n">
        <v>5.72</v>
      </c>
      <c r="M7" s="11" t="n">
        <v>7.1</v>
      </c>
      <c r="N7" s="12" t="n">
        <v>24.967143</v>
      </c>
    </row>
    <row r="8" customFormat="false" ht="15" hidden="false" customHeight="false" outlineLevel="0" collapsed="false">
      <c r="A8" s="7" t="s">
        <v>1059</v>
      </c>
      <c r="B8" s="7" t="s">
        <v>1047</v>
      </c>
      <c r="C8" s="7" t="s">
        <v>1048</v>
      </c>
      <c r="D8" s="7" t="s">
        <v>1049</v>
      </c>
      <c r="E8" s="7" t="s">
        <v>56</v>
      </c>
      <c r="F8" s="7" t="s">
        <v>1050</v>
      </c>
      <c r="G8" s="10" t="n">
        <v>0</v>
      </c>
      <c r="H8" s="11" t="n">
        <v>3.97</v>
      </c>
      <c r="I8" s="11" t="n">
        <v>4.08</v>
      </c>
      <c r="J8" s="11" t="n">
        <v>4.08</v>
      </c>
      <c r="K8" s="11" t="n">
        <v>4.28</v>
      </c>
      <c r="L8" s="11" t="n">
        <v>4.54</v>
      </c>
      <c r="M8" s="11" t="n">
        <v>5.89</v>
      </c>
      <c r="N8" s="12" t="n">
        <v>21.927829</v>
      </c>
    </row>
    <row r="9" customFormat="false" ht="15" hidden="false" customHeight="false" outlineLevel="0" collapsed="false">
      <c r="A9" s="7" t="s">
        <v>1059</v>
      </c>
      <c r="B9" s="7" t="s">
        <v>1055</v>
      </c>
      <c r="C9" s="7" t="s">
        <v>1048</v>
      </c>
      <c r="D9" s="7" t="s">
        <v>1049</v>
      </c>
      <c r="E9" s="7" t="s">
        <v>56</v>
      </c>
      <c r="F9" s="7" t="s">
        <v>1050</v>
      </c>
      <c r="G9" s="10" t="n">
        <v>500000</v>
      </c>
      <c r="H9" s="11" t="n">
        <v>4.05</v>
      </c>
      <c r="I9" s="11" t="n">
        <v>4.16</v>
      </c>
      <c r="J9" s="11" t="n">
        <v>4.16</v>
      </c>
      <c r="K9" s="11" t="n">
        <v>4.35</v>
      </c>
      <c r="L9" s="11" t="n">
        <v>4.61</v>
      </c>
      <c r="M9" s="11" t="n">
        <v>5.97</v>
      </c>
      <c r="N9" s="12" t="n">
        <v>22.38631</v>
      </c>
    </row>
    <row r="10" customFormat="false" ht="15" hidden="false" customHeight="false" outlineLevel="0" collapsed="false">
      <c r="A10" s="7" t="s">
        <v>1059</v>
      </c>
      <c r="B10" s="7" t="s">
        <v>1056</v>
      </c>
      <c r="C10" s="7" t="s">
        <v>1048</v>
      </c>
      <c r="D10" s="7" t="s">
        <v>1049</v>
      </c>
      <c r="E10" s="7" t="s">
        <v>56</v>
      </c>
      <c r="F10" s="7" t="s">
        <v>1050</v>
      </c>
      <c r="G10" s="10" t="n">
        <v>1000000</v>
      </c>
      <c r="H10" s="11" t="n">
        <v>4.19</v>
      </c>
      <c r="I10" s="11" t="n">
        <v>4.31</v>
      </c>
      <c r="J10" s="11" t="n">
        <v>4.31</v>
      </c>
      <c r="K10" s="11" t="n">
        <v>4.5</v>
      </c>
      <c r="L10" s="11" t="n">
        <v>4.76</v>
      </c>
      <c r="M10" s="11" t="n">
        <v>6.11</v>
      </c>
      <c r="N10" s="12" t="n">
        <v>23.09606</v>
      </c>
    </row>
    <row r="11" customFormat="false" ht="15" hidden="false" customHeight="false" outlineLevel="0" collapsed="false">
      <c r="A11" s="7" t="s">
        <v>1059</v>
      </c>
      <c r="B11" s="7" t="s">
        <v>1057</v>
      </c>
      <c r="C11" s="7" t="s">
        <v>1048</v>
      </c>
      <c r="D11" s="7" t="s">
        <v>1049</v>
      </c>
      <c r="E11" s="7" t="s">
        <v>56</v>
      </c>
      <c r="F11" s="7" t="s">
        <v>1050</v>
      </c>
      <c r="G11" s="10" t="n">
        <v>20000000</v>
      </c>
      <c r="H11" s="11" t="n">
        <v>4.53</v>
      </c>
      <c r="I11" s="11" t="n">
        <v>4.64</v>
      </c>
      <c r="J11" s="11" t="n">
        <v>4.64</v>
      </c>
      <c r="K11" s="11" t="n">
        <v>4.83</v>
      </c>
      <c r="L11" s="11" t="n">
        <v>5.09</v>
      </c>
      <c r="M11" s="11" t="n">
        <v>6.44</v>
      </c>
      <c r="N11" s="12" t="n">
        <v>24.024276</v>
      </c>
    </row>
    <row r="12" customFormat="false" ht="15" hidden="false" customHeight="false" outlineLevel="0" collapsed="false">
      <c r="A12" s="7" t="s">
        <v>1059</v>
      </c>
      <c r="B12" s="7" t="s">
        <v>1058</v>
      </c>
      <c r="C12" s="7" t="s">
        <v>1048</v>
      </c>
      <c r="D12" s="7" t="s">
        <v>1049</v>
      </c>
      <c r="E12" s="7" t="s">
        <v>56</v>
      </c>
      <c r="F12" s="7" t="s">
        <v>1050</v>
      </c>
      <c r="G12" s="10" t="n">
        <v>150000000</v>
      </c>
      <c r="H12" s="11" t="n">
        <v>5.32</v>
      </c>
      <c r="I12" s="11" t="n">
        <v>5.43</v>
      </c>
      <c r="J12" s="11" t="n">
        <v>5.43</v>
      </c>
      <c r="K12" s="11" t="n">
        <v>5.62</v>
      </c>
      <c r="L12" s="11" t="n">
        <v>5.87</v>
      </c>
      <c r="M12" s="11" t="n">
        <v>7.22</v>
      </c>
      <c r="N12" s="12" t="n">
        <v>26.200838</v>
      </c>
    </row>
    <row r="13" customFormat="false" ht="15" hidden="false" customHeight="false" outlineLevel="0" collapsed="false">
      <c r="A13" s="7" t="s">
        <v>1060</v>
      </c>
      <c r="B13" s="7" t="s">
        <v>1061</v>
      </c>
      <c r="C13" s="7" t="s">
        <v>1048</v>
      </c>
      <c r="D13" s="7" t="s">
        <v>1049</v>
      </c>
      <c r="E13" s="7" t="s">
        <v>56</v>
      </c>
      <c r="F13" s="7" t="s">
        <v>1050</v>
      </c>
      <c r="G13" s="10" t="n">
        <v>0</v>
      </c>
      <c r="H13" s="11" t="n">
        <v>3.99</v>
      </c>
      <c r="I13" s="11" t="n">
        <v>3.96</v>
      </c>
      <c r="J13" s="11" t="n">
        <v>3.96</v>
      </c>
      <c r="K13" s="11" t="n">
        <v>4.11</v>
      </c>
      <c r="L13" s="11" t="n">
        <v>4.39</v>
      </c>
      <c r="M13" s="11" t="n">
        <v>5.78</v>
      </c>
      <c r="N13" s="12" t="n">
        <v>42.099883</v>
      </c>
    </row>
    <row r="14" customFormat="false" ht="15" hidden="false" customHeight="false" outlineLevel="0" collapsed="false">
      <c r="A14" s="7" t="s">
        <v>1060</v>
      </c>
      <c r="B14" s="7" t="s">
        <v>1062</v>
      </c>
      <c r="C14" s="7" t="s">
        <v>1048</v>
      </c>
      <c r="D14" s="7" t="s">
        <v>1049</v>
      </c>
      <c r="E14" s="7" t="s">
        <v>56</v>
      </c>
      <c r="F14" s="7" t="s">
        <v>1050</v>
      </c>
      <c r="G14" s="10" t="n">
        <v>1000000</v>
      </c>
      <c r="H14" s="11" t="n">
        <v>4.18</v>
      </c>
      <c r="I14" s="11" t="n">
        <v>4.15</v>
      </c>
      <c r="J14" s="11" t="n">
        <v>4.15</v>
      </c>
      <c r="K14" s="11" t="n">
        <v>4.3</v>
      </c>
      <c r="L14" s="11" t="n">
        <v>4.57</v>
      </c>
      <c r="M14" s="11" t="n">
        <v>5.97</v>
      </c>
      <c r="N14" s="12" t="n">
        <v>42.535234</v>
      </c>
    </row>
    <row r="15" customFormat="false" ht="15" hidden="false" customHeight="false" outlineLevel="0" collapsed="false">
      <c r="A15" s="7" t="s">
        <v>1060</v>
      </c>
      <c r="B15" s="7" t="s">
        <v>1063</v>
      </c>
      <c r="C15" s="7" t="s">
        <v>1048</v>
      </c>
      <c r="D15" s="7" t="s">
        <v>1049</v>
      </c>
      <c r="E15" s="7" t="s">
        <v>56</v>
      </c>
      <c r="F15" s="7" t="s">
        <v>1050</v>
      </c>
      <c r="G15" s="10" t="n">
        <v>3000000</v>
      </c>
      <c r="H15" s="11" t="n">
        <v>4.18</v>
      </c>
      <c r="I15" s="11" t="n">
        <v>4.15</v>
      </c>
      <c r="J15" s="11" t="n">
        <v>4.15</v>
      </c>
      <c r="K15" s="11" t="n">
        <v>4.3</v>
      </c>
      <c r="L15" s="11" t="n">
        <v>4.57</v>
      </c>
      <c r="M15" s="11" t="n">
        <v>5.97</v>
      </c>
      <c r="N15" s="12" t="n">
        <v>42.535234</v>
      </c>
    </row>
    <row r="16" customFormat="false" ht="15" hidden="false" customHeight="false" outlineLevel="0" collapsed="false">
      <c r="A16" s="7" t="s">
        <v>1060</v>
      </c>
      <c r="B16" s="7" t="s">
        <v>1064</v>
      </c>
      <c r="C16" s="7" t="s">
        <v>1048</v>
      </c>
      <c r="D16" s="7" t="s">
        <v>1049</v>
      </c>
      <c r="E16" s="7" t="s">
        <v>56</v>
      </c>
      <c r="F16" s="7" t="s">
        <v>1050</v>
      </c>
      <c r="G16" s="10" t="n">
        <v>10000000</v>
      </c>
      <c r="H16" s="11" t="n">
        <v>4.5</v>
      </c>
      <c r="I16" s="11" t="n">
        <v>4.46</v>
      </c>
      <c r="J16" s="11" t="n">
        <v>4.46</v>
      </c>
      <c r="K16" s="11" t="n">
        <v>4.61</v>
      </c>
      <c r="L16" s="11" t="n">
        <v>4.89</v>
      </c>
      <c r="M16" s="11" t="n">
        <v>6.29</v>
      </c>
      <c r="N16" s="12" t="n">
        <v>43.270715</v>
      </c>
    </row>
    <row r="17" customFormat="false" ht="15" hidden="false" customHeight="false" outlineLevel="0" collapsed="false">
      <c r="A17" s="7" t="s">
        <v>1065</v>
      </c>
      <c r="B17" s="7" t="s">
        <v>1066</v>
      </c>
      <c r="C17" s="7" t="s">
        <v>1048</v>
      </c>
      <c r="D17" s="7" t="s">
        <v>1049</v>
      </c>
      <c r="E17" s="7" t="s">
        <v>56</v>
      </c>
      <c r="F17" s="7" t="s">
        <v>1067</v>
      </c>
      <c r="G17" s="10" t="n">
        <v>0</v>
      </c>
      <c r="H17" s="11" t="n">
        <v>4.47</v>
      </c>
      <c r="I17" s="11" t="n">
        <v>4.74</v>
      </c>
      <c r="J17" s="11" t="n">
        <v>4.74</v>
      </c>
      <c r="K17" s="11" t="n">
        <v>4.16</v>
      </c>
      <c r="L17" s="11" t="n">
        <v>4.4</v>
      </c>
      <c r="M17" s="11" t="n">
        <v>5.72</v>
      </c>
      <c r="N17" s="12" t="n">
        <v>17.298157</v>
      </c>
    </row>
    <row r="18" customFormat="false" ht="15" hidden="false" customHeight="false" outlineLevel="0" collapsed="false">
      <c r="A18" s="7" t="s">
        <v>1065</v>
      </c>
      <c r="B18" s="7" t="s">
        <v>1068</v>
      </c>
      <c r="C18" s="7" t="s">
        <v>1048</v>
      </c>
      <c r="D18" s="7" t="s">
        <v>1049</v>
      </c>
      <c r="E18" s="7" t="s">
        <v>56</v>
      </c>
      <c r="F18" s="7" t="s">
        <v>1067</v>
      </c>
      <c r="G18" s="10" t="n">
        <v>1000000</v>
      </c>
      <c r="H18" s="11" t="n">
        <v>4.47</v>
      </c>
      <c r="I18" s="11" t="n">
        <v>4.74</v>
      </c>
      <c r="J18" s="11" t="n">
        <v>4.74</v>
      </c>
      <c r="K18" s="11" t="n">
        <v>4.16</v>
      </c>
      <c r="L18" s="11" t="n">
        <v>4.4</v>
      </c>
      <c r="M18" s="11" t="n">
        <v>5.72</v>
      </c>
      <c r="N18" s="12" t="n">
        <v>17.298156</v>
      </c>
    </row>
    <row r="19" customFormat="false" ht="15" hidden="false" customHeight="false" outlineLevel="0" collapsed="false">
      <c r="A19" s="7" t="s">
        <v>1065</v>
      </c>
      <c r="B19" s="7" t="s">
        <v>1069</v>
      </c>
      <c r="C19" s="7" t="s">
        <v>1048</v>
      </c>
      <c r="D19" s="7" t="s">
        <v>1049</v>
      </c>
      <c r="E19" s="7" t="s">
        <v>56</v>
      </c>
      <c r="F19" s="7" t="s">
        <v>1067</v>
      </c>
      <c r="G19" s="10" t="n">
        <v>20000000</v>
      </c>
      <c r="H19" s="11" t="n">
        <v>5.11</v>
      </c>
      <c r="I19" s="11" t="n">
        <v>5.37</v>
      </c>
      <c r="J19" s="11" t="n">
        <v>5.37</v>
      </c>
      <c r="K19" s="11" t="n">
        <v>4.79</v>
      </c>
      <c r="L19" s="11" t="n">
        <v>5.03</v>
      </c>
      <c r="M19" s="11" t="n">
        <v>6.34</v>
      </c>
      <c r="N19" s="12" t="n">
        <v>17.944121</v>
      </c>
    </row>
    <row r="20" customFormat="false" ht="15" hidden="false" customHeight="false" outlineLevel="0" collapsed="false">
      <c r="A20" s="7" t="s">
        <v>1065</v>
      </c>
      <c r="B20" s="7" t="s">
        <v>1070</v>
      </c>
      <c r="C20" s="7" t="s">
        <v>1048</v>
      </c>
      <c r="D20" s="7" t="s">
        <v>1049</v>
      </c>
      <c r="E20" s="7" t="s">
        <v>56</v>
      </c>
      <c r="F20" s="7" t="s">
        <v>1067</v>
      </c>
      <c r="G20" s="10" t="n">
        <v>150000000</v>
      </c>
      <c r="H20" s="11" t="n">
        <v>0</v>
      </c>
      <c r="I20" s="11" t="n">
        <v>0</v>
      </c>
      <c r="J20" s="11" t="n">
        <v>0</v>
      </c>
      <c r="K20" s="11" t="n">
        <v>0</v>
      </c>
      <c r="L20" s="11" t="n">
        <v>0</v>
      </c>
      <c r="M20" s="11" t="n">
        <v>0</v>
      </c>
      <c r="N20" s="12" t="n">
        <v>17.732098</v>
      </c>
    </row>
    <row r="21" customFormat="false" ht="15" hidden="false" customHeight="false" outlineLevel="0" collapsed="false">
      <c r="A21" s="7" t="s">
        <v>1065</v>
      </c>
      <c r="B21" s="7" t="s">
        <v>1071</v>
      </c>
      <c r="C21" s="7" t="s">
        <v>1048</v>
      </c>
      <c r="D21" s="7" t="s">
        <v>1049</v>
      </c>
      <c r="E21" s="7" t="s">
        <v>56</v>
      </c>
      <c r="F21" s="7" t="s">
        <v>1067</v>
      </c>
      <c r="G21" s="10" t="n">
        <v>300000000</v>
      </c>
      <c r="H21" s="11" t="n">
        <v>5.82</v>
      </c>
      <c r="I21" s="11" t="n">
        <v>6.09</v>
      </c>
      <c r="J21" s="11" t="n">
        <v>6.09</v>
      </c>
      <c r="K21" s="11" t="n">
        <v>5.5</v>
      </c>
      <c r="L21" s="11" t="n">
        <v>5.73</v>
      </c>
      <c r="M21" s="11" t="n">
        <v>7.03</v>
      </c>
      <c r="N21" s="12" t="n">
        <v>20.415324</v>
      </c>
    </row>
    <row r="22" customFormat="false" ht="15" hidden="false" customHeight="false" outlineLevel="0" collapsed="false">
      <c r="A22" s="7" t="s">
        <v>1072</v>
      </c>
      <c r="B22" s="7" t="s">
        <v>1055</v>
      </c>
      <c r="C22" s="7" t="s">
        <v>1048</v>
      </c>
      <c r="D22" s="7" t="s">
        <v>1049</v>
      </c>
      <c r="E22" s="7" t="s">
        <v>1073</v>
      </c>
      <c r="F22" s="7" t="s">
        <v>1053</v>
      </c>
      <c r="G22" s="10" t="n">
        <v>0</v>
      </c>
      <c r="H22" s="11" t="n">
        <v>4.41</v>
      </c>
      <c r="I22" s="11" t="n">
        <v>4.15</v>
      </c>
      <c r="J22" s="11" t="n">
        <v>4.15</v>
      </c>
      <c r="K22" s="11" t="n">
        <v>4.44</v>
      </c>
      <c r="L22" s="11" t="n">
        <v>4.64</v>
      </c>
      <c r="M22" s="11" t="n">
        <v>5.96</v>
      </c>
      <c r="N22" s="12" t="n">
        <v>13.5479</v>
      </c>
    </row>
    <row r="23" customFormat="false" ht="15" hidden="false" customHeight="false" outlineLevel="0" collapsed="false">
      <c r="A23" s="7" t="s">
        <v>1072</v>
      </c>
      <c r="B23" s="7" t="s">
        <v>1056</v>
      </c>
      <c r="C23" s="7" t="s">
        <v>1048</v>
      </c>
      <c r="D23" s="7" t="s">
        <v>1049</v>
      </c>
      <c r="E23" s="7" t="s">
        <v>1073</v>
      </c>
      <c r="F23" s="7" t="s">
        <v>1053</v>
      </c>
      <c r="G23" s="10" t="n">
        <v>1000000</v>
      </c>
      <c r="H23" s="11" t="n">
        <v>4.4</v>
      </c>
      <c r="I23" s="11" t="n">
        <v>4.14</v>
      </c>
      <c r="J23" s="11" t="n">
        <v>4.14</v>
      </c>
      <c r="K23" s="11" t="n">
        <v>4.43</v>
      </c>
      <c r="L23" s="11" t="n">
        <v>4.63</v>
      </c>
      <c r="M23" s="11" t="n">
        <v>5.95</v>
      </c>
      <c r="N23" s="12" t="n">
        <v>13.427939</v>
      </c>
    </row>
    <row r="24" customFormat="false" ht="15" hidden="false" customHeight="false" outlineLevel="0" collapsed="false">
      <c r="A24" s="7" t="s">
        <v>1072</v>
      </c>
      <c r="B24" s="7" t="s">
        <v>1057</v>
      </c>
      <c r="C24" s="7" t="s">
        <v>1048</v>
      </c>
      <c r="D24" s="7" t="s">
        <v>1049</v>
      </c>
      <c r="E24" s="7" t="s">
        <v>1073</v>
      </c>
      <c r="F24" s="7" t="s">
        <v>1053</v>
      </c>
      <c r="G24" s="10" t="n">
        <v>20000000</v>
      </c>
      <c r="H24" s="11" t="n">
        <v>4.81</v>
      </c>
      <c r="I24" s="11" t="n">
        <v>4.55</v>
      </c>
      <c r="J24" s="11" t="n">
        <v>4.55</v>
      </c>
      <c r="K24" s="11" t="n">
        <v>4.83</v>
      </c>
      <c r="L24" s="11" t="n">
        <v>5.04</v>
      </c>
      <c r="M24" s="11" t="n">
        <v>6.39</v>
      </c>
      <c r="N24" s="12" t="n">
        <v>12.532301</v>
      </c>
    </row>
    <row r="25" customFormat="false" ht="15" hidden="false" customHeight="false" outlineLevel="0" collapsed="false">
      <c r="A25" s="7" t="s">
        <v>1072</v>
      </c>
      <c r="B25" s="7" t="s">
        <v>1058</v>
      </c>
      <c r="C25" s="7" t="s">
        <v>1048</v>
      </c>
      <c r="D25" s="7" t="s">
        <v>1049</v>
      </c>
      <c r="E25" s="7" t="s">
        <v>1073</v>
      </c>
      <c r="F25" s="7" t="s">
        <v>1053</v>
      </c>
      <c r="G25" s="10" t="n">
        <v>150000000</v>
      </c>
      <c r="H25" s="11" t="n">
        <v>0</v>
      </c>
      <c r="I25" s="11" t="n">
        <v>0</v>
      </c>
      <c r="J25" s="11" t="n">
        <v>0</v>
      </c>
      <c r="K25" s="11" t="n">
        <v>0</v>
      </c>
      <c r="L25" s="11" t="n">
        <v>0</v>
      </c>
      <c r="M25" s="11" t="n">
        <v>0</v>
      </c>
      <c r="N25" s="12" t="n">
        <v>10</v>
      </c>
    </row>
    <row r="26" customFormat="false" ht="15" hidden="false" customHeight="false" outlineLevel="0" collapsed="false">
      <c r="A26" s="7" t="s">
        <v>1072</v>
      </c>
      <c r="B26" s="7" t="s">
        <v>1071</v>
      </c>
      <c r="C26" s="7" t="s">
        <v>1048</v>
      </c>
      <c r="D26" s="7" t="s">
        <v>1049</v>
      </c>
      <c r="E26" s="7" t="s">
        <v>1073</v>
      </c>
      <c r="F26" s="7" t="s">
        <v>1053</v>
      </c>
      <c r="G26" s="10" t="n">
        <v>300000000</v>
      </c>
      <c r="H26" s="11" t="n">
        <v>0</v>
      </c>
      <c r="I26" s="11" t="n">
        <v>0</v>
      </c>
      <c r="J26" s="11" t="n">
        <v>0</v>
      </c>
      <c r="K26" s="11" t="n">
        <v>0</v>
      </c>
      <c r="L26" s="11" t="n">
        <v>0</v>
      </c>
      <c r="M26" s="11" t="n">
        <v>0</v>
      </c>
      <c r="N26" s="12" t="n">
        <v>10</v>
      </c>
    </row>
    <row r="27" customFormat="false" ht="15" hidden="false" customHeight="false" outlineLevel="0" collapsed="false">
      <c r="A27" s="7" t="s">
        <v>1074</v>
      </c>
      <c r="B27" s="7" t="s">
        <v>1047</v>
      </c>
      <c r="C27" s="7" t="s">
        <v>1048</v>
      </c>
      <c r="D27" s="7" t="s">
        <v>1049</v>
      </c>
      <c r="E27" s="7" t="s">
        <v>1073</v>
      </c>
      <c r="F27" s="7" t="s">
        <v>1075</v>
      </c>
      <c r="G27" s="10" t="n">
        <v>0</v>
      </c>
      <c r="H27" s="11" t="n">
        <v>7.77</v>
      </c>
      <c r="I27" s="11" t="n">
        <v>28.48</v>
      </c>
      <c r="J27" s="11" t="n">
        <v>28.48</v>
      </c>
      <c r="K27" s="11" t="n">
        <v>6.25</v>
      </c>
      <c r="L27" s="11" t="n">
        <v>5.86</v>
      </c>
      <c r="M27" s="11" t="n">
        <v>8</v>
      </c>
      <c r="N27" s="12" t="n">
        <v>70.564468</v>
      </c>
    </row>
    <row r="28" customFormat="false" ht="15" hidden="false" customHeight="false" outlineLevel="0" collapsed="false">
      <c r="A28" s="7" t="s">
        <v>1074</v>
      </c>
      <c r="B28" s="7" t="s">
        <v>1066</v>
      </c>
      <c r="C28" s="7" t="s">
        <v>1048</v>
      </c>
      <c r="D28" s="7" t="s">
        <v>1049</v>
      </c>
      <c r="E28" s="7" t="s">
        <v>1073</v>
      </c>
      <c r="F28" s="7" t="s">
        <v>1075</v>
      </c>
      <c r="G28" s="10" t="n">
        <v>500000</v>
      </c>
      <c r="H28" s="11" t="n">
        <v>7.83</v>
      </c>
      <c r="I28" s="11" t="n">
        <v>28.56</v>
      </c>
      <c r="J28" s="11" t="n">
        <v>28.56</v>
      </c>
      <c r="K28" s="11" t="n">
        <v>6.31</v>
      </c>
      <c r="L28" s="11" t="n">
        <v>5.92</v>
      </c>
      <c r="M28" s="11" t="n">
        <v>8.07</v>
      </c>
      <c r="N28" s="12" t="n">
        <v>70.802654</v>
      </c>
    </row>
    <row r="29" customFormat="false" ht="15" hidden="false" customHeight="false" outlineLevel="0" collapsed="false">
      <c r="A29" s="7" t="s">
        <v>1074</v>
      </c>
      <c r="B29" s="7" t="s">
        <v>1068</v>
      </c>
      <c r="C29" s="7" t="s">
        <v>1048</v>
      </c>
      <c r="D29" s="7" t="s">
        <v>1049</v>
      </c>
      <c r="E29" s="7" t="s">
        <v>1073</v>
      </c>
      <c r="F29" s="7" t="s">
        <v>1075</v>
      </c>
      <c r="G29" s="10" t="n">
        <v>1000000</v>
      </c>
      <c r="H29" s="11" t="n">
        <v>8.16</v>
      </c>
      <c r="I29" s="11" t="n">
        <v>28.95</v>
      </c>
      <c r="J29" s="11" t="n">
        <v>28.95</v>
      </c>
      <c r="K29" s="11" t="n">
        <v>6.63</v>
      </c>
      <c r="L29" s="11" t="n">
        <v>6.24</v>
      </c>
      <c r="M29" s="11" t="n">
        <v>8.39</v>
      </c>
      <c r="N29" s="12" t="n">
        <v>72.005544</v>
      </c>
    </row>
    <row r="30" customFormat="false" ht="15" hidden="false" customHeight="false" outlineLevel="0" collapsed="false">
      <c r="A30" s="7" t="s">
        <v>1074</v>
      </c>
      <c r="B30" s="7" t="s">
        <v>1069</v>
      </c>
      <c r="C30" s="7" t="s">
        <v>1048</v>
      </c>
      <c r="D30" s="7" t="s">
        <v>1049</v>
      </c>
      <c r="E30" s="7" t="s">
        <v>1073</v>
      </c>
      <c r="F30" s="7" t="s">
        <v>1075</v>
      </c>
      <c r="G30" s="10" t="n">
        <v>20000000</v>
      </c>
      <c r="H30" s="11" t="n">
        <v>8.48</v>
      </c>
      <c r="I30" s="11" t="n">
        <v>29.33</v>
      </c>
      <c r="J30" s="11" t="n">
        <v>29.33</v>
      </c>
      <c r="K30" s="11" t="n">
        <v>6.95</v>
      </c>
      <c r="L30" s="11" t="n">
        <v>6.56</v>
      </c>
      <c r="M30" s="11" t="n">
        <v>8.71</v>
      </c>
      <c r="N30" s="12" t="n">
        <v>73.228614</v>
      </c>
    </row>
    <row r="31" customFormat="false" ht="15" hidden="false" customHeight="false" outlineLevel="0" collapsed="false">
      <c r="A31" s="7" t="s">
        <v>1074</v>
      </c>
      <c r="B31" s="7" t="s">
        <v>1070</v>
      </c>
      <c r="C31" s="7" t="s">
        <v>1048</v>
      </c>
      <c r="D31" s="7" t="s">
        <v>1049</v>
      </c>
      <c r="E31" s="7" t="s">
        <v>1073</v>
      </c>
      <c r="F31" s="7" t="s">
        <v>1075</v>
      </c>
      <c r="G31" s="10" t="n">
        <v>150000000</v>
      </c>
      <c r="H31" s="11" t="n">
        <v>8.94</v>
      </c>
      <c r="I31" s="11" t="n">
        <v>29.88</v>
      </c>
      <c r="J31" s="11" t="n">
        <v>29.88</v>
      </c>
      <c r="K31" s="11" t="n">
        <v>7.4</v>
      </c>
      <c r="L31" s="11" t="n">
        <v>7</v>
      </c>
      <c r="M31" s="11" t="n">
        <v>9.16</v>
      </c>
      <c r="N31" s="12" t="n">
        <v>74.975458</v>
      </c>
    </row>
    <row r="32" customFormat="false" ht="15" hidden="false" customHeight="false" outlineLevel="0" collapsed="false">
      <c r="A32" s="7" t="s">
        <v>1076</v>
      </c>
      <c r="B32" s="7" t="s">
        <v>1055</v>
      </c>
      <c r="C32" s="7" t="s">
        <v>1048</v>
      </c>
      <c r="D32" s="7" t="s">
        <v>1049</v>
      </c>
      <c r="E32" s="7" t="s">
        <v>41</v>
      </c>
      <c r="F32" s="7" t="s">
        <v>1077</v>
      </c>
      <c r="G32" s="10" t="n">
        <v>0</v>
      </c>
      <c r="H32" s="11" t="n">
        <v>27.79</v>
      </c>
      <c r="I32" s="11" t="n">
        <v>49.71</v>
      </c>
      <c r="J32" s="11" t="n">
        <v>49.71</v>
      </c>
      <c r="K32" s="11" t="n">
        <v>6.4</v>
      </c>
      <c r="L32" s="11" t="n">
        <v>5.91</v>
      </c>
      <c r="M32" s="11" t="n">
        <v>8.98</v>
      </c>
      <c r="N32" s="12" t="n">
        <v>21.430637</v>
      </c>
    </row>
    <row r="33" customFormat="false" ht="15" hidden="false" customHeight="false" outlineLevel="0" collapsed="false">
      <c r="A33" s="7" t="s">
        <v>1076</v>
      </c>
      <c r="B33" s="7" t="s">
        <v>1056</v>
      </c>
      <c r="C33" s="7" t="s">
        <v>1048</v>
      </c>
      <c r="D33" s="7" t="s">
        <v>1049</v>
      </c>
      <c r="E33" s="7" t="s">
        <v>41</v>
      </c>
      <c r="F33" s="7" t="s">
        <v>1077</v>
      </c>
      <c r="G33" s="10" t="n">
        <v>1000000</v>
      </c>
      <c r="H33" s="11" t="n">
        <v>28.2</v>
      </c>
      <c r="I33" s="11" t="n">
        <v>50.19</v>
      </c>
      <c r="J33" s="11" t="n">
        <v>50.19</v>
      </c>
      <c r="K33" s="11" t="n">
        <v>6.74</v>
      </c>
      <c r="L33" s="11" t="n">
        <v>6.24</v>
      </c>
      <c r="M33" s="11" t="n">
        <v>9.32</v>
      </c>
      <c r="N33" s="12" t="n">
        <v>22.487122</v>
      </c>
    </row>
    <row r="34" customFormat="false" ht="15" hidden="false" customHeight="false" outlineLevel="0" collapsed="false">
      <c r="A34" s="7" t="s">
        <v>1076</v>
      </c>
      <c r="B34" s="7" t="s">
        <v>1057</v>
      </c>
      <c r="C34" s="7" t="s">
        <v>1048</v>
      </c>
      <c r="D34" s="7" t="s">
        <v>1049</v>
      </c>
      <c r="E34" s="7" t="s">
        <v>41</v>
      </c>
      <c r="F34" s="7" t="s">
        <v>1077</v>
      </c>
      <c r="G34" s="10" t="n">
        <v>20000000</v>
      </c>
      <c r="H34" s="11" t="n">
        <v>28.6</v>
      </c>
      <c r="I34" s="11" t="n">
        <v>50.66</v>
      </c>
      <c r="J34" s="11" t="n">
        <v>50.66</v>
      </c>
      <c r="K34" s="11" t="n">
        <v>7.08</v>
      </c>
      <c r="L34" s="11" t="n">
        <v>6.58</v>
      </c>
      <c r="M34" s="11" t="n">
        <v>9.65</v>
      </c>
      <c r="N34" s="12" t="n">
        <v>23.448718</v>
      </c>
    </row>
    <row r="35" customFormat="false" ht="15" hidden="false" customHeight="false" outlineLevel="0" collapsed="false">
      <c r="A35" s="7" t="s">
        <v>1076</v>
      </c>
      <c r="B35" s="7" t="s">
        <v>1058</v>
      </c>
      <c r="C35" s="7" t="s">
        <v>1048</v>
      </c>
      <c r="D35" s="7" t="s">
        <v>1049</v>
      </c>
      <c r="E35" s="7" t="s">
        <v>41</v>
      </c>
      <c r="F35" s="7" t="s">
        <v>1077</v>
      </c>
      <c r="G35" s="10" t="n">
        <v>150000000</v>
      </c>
      <c r="H35" s="11" t="n">
        <v>0</v>
      </c>
      <c r="I35" s="11" t="n">
        <v>0</v>
      </c>
      <c r="J35" s="11" t="n">
        <v>0</v>
      </c>
      <c r="K35" s="11" t="n">
        <v>0</v>
      </c>
      <c r="L35" s="11" t="n">
        <v>0</v>
      </c>
      <c r="M35" s="11" t="n">
        <v>0</v>
      </c>
      <c r="N35" s="12" t="n">
        <v>19.675419</v>
      </c>
    </row>
    <row r="36" customFormat="false" ht="15" hidden="false" customHeight="false" outlineLevel="0" collapsed="false">
      <c r="A36" s="7" t="s">
        <v>1078</v>
      </c>
      <c r="B36" s="7" t="s">
        <v>1055</v>
      </c>
      <c r="C36" s="7" t="s">
        <v>1048</v>
      </c>
      <c r="D36" s="7" t="s">
        <v>1049</v>
      </c>
      <c r="E36" s="7" t="s">
        <v>41</v>
      </c>
      <c r="F36" s="7" t="s">
        <v>1079</v>
      </c>
      <c r="G36" s="10" t="n">
        <v>500000</v>
      </c>
      <c r="H36" s="11" t="n">
        <v>21.96</v>
      </c>
      <c r="I36" s="11" t="n">
        <v>46.16</v>
      </c>
      <c r="J36" s="11" t="n">
        <v>46.16</v>
      </c>
      <c r="K36" s="11" t="n">
        <v>4.71</v>
      </c>
      <c r="L36" s="11" t="n">
        <v>4.28</v>
      </c>
      <c r="M36" s="11" t="n">
        <v>7.43</v>
      </c>
      <c r="N36" s="12" t="n">
        <v>24.752613</v>
      </c>
    </row>
    <row r="37" customFormat="false" ht="15" hidden="false" customHeight="false" outlineLevel="0" collapsed="false">
      <c r="A37" s="7" t="s">
        <v>1078</v>
      </c>
      <c r="B37" s="7" t="s">
        <v>1056</v>
      </c>
      <c r="C37" s="7" t="s">
        <v>1048</v>
      </c>
      <c r="D37" s="7" t="s">
        <v>1049</v>
      </c>
      <c r="E37" s="7" t="s">
        <v>41</v>
      </c>
      <c r="F37" s="7" t="s">
        <v>1079</v>
      </c>
      <c r="G37" s="10" t="n">
        <v>1000000</v>
      </c>
      <c r="H37" s="11" t="n">
        <v>22.77</v>
      </c>
      <c r="I37" s="11" t="n">
        <v>47.13</v>
      </c>
      <c r="J37" s="11" t="n">
        <v>47.13</v>
      </c>
      <c r="K37" s="11" t="n">
        <v>5.4</v>
      </c>
      <c r="L37" s="11" t="n">
        <v>4.96</v>
      </c>
      <c r="M37" s="11" t="n">
        <v>8.11</v>
      </c>
      <c r="N37" s="12" t="n">
        <v>27.144574</v>
      </c>
    </row>
    <row r="38" customFormat="false" ht="15" hidden="false" customHeight="false" outlineLevel="0" collapsed="false">
      <c r="A38" s="7" t="s">
        <v>1078</v>
      </c>
      <c r="B38" s="7" t="s">
        <v>1057</v>
      </c>
      <c r="C38" s="7" t="s">
        <v>1048</v>
      </c>
      <c r="D38" s="7" t="s">
        <v>1049</v>
      </c>
      <c r="E38" s="7" t="s">
        <v>41</v>
      </c>
      <c r="F38" s="7" t="s">
        <v>1079</v>
      </c>
      <c r="G38" s="10" t="n">
        <v>20000000</v>
      </c>
      <c r="H38" s="11" t="n">
        <v>23.19</v>
      </c>
      <c r="I38" s="11" t="n">
        <v>47.63</v>
      </c>
      <c r="J38" s="11" t="n">
        <v>47.63</v>
      </c>
      <c r="K38" s="11" t="n">
        <v>5.76</v>
      </c>
      <c r="L38" s="11" t="n">
        <v>5.31</v>
      </c>
      <c r="M38" s="11" t="n">
        <v>8.46</v>
      </c>
      <c r="N38" s="12" t="n">
        <v>28.803568</v>
      </c>
    </row>
    <row r="39" customFormat="false" ht="15" hidden="false" customHeight="false" outlineLevel="0" collapsed="false">
      <c r="A39" s="7" t="s">
        <v>1078</v>
      </c>
      <c r="B39" s="7" t="s">
        <v>1058</v>
      </c>
      <c r="C39" s="7" t="s">
        <v>1048</v>
      </c>
      <c r="D39" s="7" t="s">
        <v>1049</v>
      </c>
      <c r="E39" s="7" t="s">
        <v>41</v>
      </c>
      <c r="F39" s="7" t="s">
        <v>1079</v>
      </c>
      <c r="G39" s="10" t="n">
        <v>150000000</v>
      </c>
      <c r="H39" s="11" t="n">
        <v>23.97</v>
      </c>
      <c r="I39" s="11" t="n">
        <v>48.58</v>
      </c>
      <c r="J39" s="11" t="n">
        <v>48.58</v>
      </c>
      <c r="K39" s="11" t="n">
        <v>6.43</v>
      </c>
      <c r="L39" s="11" t="n">
        <v>5.97</v>
      </c>
      <c r="M39" s="11" t="n">
        <v>9.13</v>
      </c>
      <c r="N39" s="12" t="n">
        <v>31.059882</v>
      </c>
    </row>
    <row r="40" customFormat="false" ht="15" hidden="false" customHeight="false" outlineLevel="0" collapsed="false">
      <c r="A40" s="7" t="s">
        <v>1080</v>
      </c>
      <c r="B40" s="7" t="s">
        <v>1055</v>
      </c>
      <c r="C40" s="7" t="s">
        <v>1048</v>
      </c>
      <c r="D40" s="7" t="s">
        <v>1049</v>
      </c>
      <c r="E40" s="7" t="s">
        <v>41</v>
      </c>
      <c r="F40" s="7" t="s">
        <v>1081</v>
      </c>
      <c r="G40" s="10" t="n">
        <v>0</v>
      </c>
      <c r="H40" s="11" t="n">
        <v>34.96</v>
      </c>
      <c r="I40" s="11" t="n">
        <v>45.74</v>
      </c>
      <c r="J40" s="11" t="n">
        <v>45.74</v>
      </c>
      <c r="K40" s="11" t="n">
        <v>3.44</v>
      </c>
      <c r="L40" s="11" t="n">
        <v>3.1</v>
      </c>
      <c r="M40" s="11" t="n">
        <v>6.39</v>
      </c>
      <c r="N40" s="12" t="n">
        <v>11.358049</v>
      </c>
    </row>
    <row r="41" customFormat="false" ht="15" hidden="false" customHeight="false" outlineLevel="0" collapsed="false">
      <c r="A41" s="7" t="s">
        <v>1080</v>
      </c>
      <c r="B41" s="7" t="s">
        <v>1056</v>
      </c>
      <c r="C41" s="7" t="s">
        <v>1048</v>
      </c>
      <c r="D41" s="7" t="s">
        <v>1049</v>
      </c>
      <c r="E41" s="7" t="s">
        <v>41</v>
      </c>
      <c r="F41" s="7" t="s">
        <v>1081</v>
      </c>
      <c r="G41" s="10" t="n">
        <v>1000000</v>
      </c>
      <c r="H41" s="11" t="n">
        <v>35.28</v>
      </c>
      <c r="I41" s="11" t="n">
        <v>46.08</v>
      </c>
      <c r="J41" s="11" t="n">
        <v>46.08</v>
      </c>
      <c r="K41" s="11" t="n">
        <v>3.68</v>
      </c>
      <c r="L41" s="11" t="n">
        <v>3.34</v>
      </c>
      <c r="M41" s="11" t="n">
        <v>6.64</v>
      </c>
      <c r="N41" s="12" t="n">
        <v>11.446266</v>
      </c>
    </row>
    <row r="42" customFormat="false" ht="15" hidden="false" customHeight="false" outlineLevel="0" collapsed="false">
      <c r="A42" s="7" t="s">
        <v>1080</v>
      </c>
      <c r="B42" s="7" t="s">
        <v>1057</v>
      </c>
      <c r="C42" s="7" t="s">
        <v>1048</v>
      </c>
      <c r="D42" s="7" t="s">
        <v>1049</v>
      </c>
      <c r="E42" s="7" t="s">
        <v>41</v>
      </c>
      <c r="F42" s="7" t="s">
        <v>1081</v>
      </c>
      <c r="G42" s="10" t="n">
        <v>20000000</v>
      </c>
      <c r="H42" s="11" t="n">
        <v>35.67</v>
      </c>
      <c r="I42" s="11" t="n">
        <v>46.51</v>
      </c>
      <c r="J42" s="11" t="n">
        <v>46.51</v>
      </c>
      <c r="K42" s="11" t="n">
        <v>3.98</v>
      </c>
      <c r="L42" s="11" t="n">
        <v>3.64</v>
      </c>
      <c r="M42" s="11" t="n">
        <v>6.95</v>
      </c>
      <c r="N42" s="12" t="n">
        <v>11.516323</v>
      </c>
    </row>
    <row r="43" customFormat="false" ht="15" hidden="false" customHeight="false" outlineLevel="0" collapsed="false">
      <c r="A43" s="7" t="s">
        <v>1080</v>
      </c>
      <c r="B43" s="7" t="s">
        <v>1058</v>
      </c>
      <c r="C43" s="7" t="s">
        <v>1048</v>
      </c>
      <c r="D43" s="7" t="s">
        <v>1049</v>
      </c>
      <c r="E43" s="7" t="s">
        <v>41</v>
      </c>
      <c r="F43" s="7" t="s">
        <v>1081</v>
      </c>
      <c r="G43" s="10" t="n">
        <v>150000000</v>
      </c>
      <c r="H43" s="11" t="n">
        <v>36.36</v>
      </c>
      <c r="I43" s="11" t="n">
        <v>47.25</v>
      </c>
      <c r="J43" s="11" t="n">
        <v>47.25</v>
      </c>
      <c r="K43" s="11" t="n">
        <v>4.5</v>
      </c>
      <c r="L43" s="11" t="n">
        <v>4.16</v>
      </c>
      <c r="M43" s="11" t="n">
        <v>0</v>
      </c>
      <c r="N43" s="12" t="n">
        <v>11.367607</v>
      </c>
    </row>
    <row r="44" customFormat="false" ht="15" hidden="false" customHeight="false" outlineLevel="0" collapsed="false">
      <c r="A44" s="7" t="s">
        <v>1080</v>
      </c>
      <c r="B44" s="7" t="s">
        <v>1071</v>
      </c>
      <c r="C44" s="7" t="s">
        <v>1048</v>
      </c>
      <c r="D44" s="7" t="s">
        <v>1049</v>
      </c>
      <c r="E44" s="7" t="s">
        <v>41</v>
      </c>
      <c r="F44" s="7" t="s">
        <v>1081</v>
      </c>
      <c r="G44" s="10" t="n">
        <v>300000000</v>
      </c>
      <c r="H44" s="11" t="n">
        <v>36.66</v>
      </c>
      <c r="I44" s="11" t="n">
        <v>47.58</v>
      </c>
      <c r="J44" s="11" t="n">
        <v>47.58</v>
      </c>
      <c r="K44" s="11" t="n">
        <v>0</v>
      </c>
      <c r="L44" s="11" t="n">
        <v>0</v>
      </c>
      <c r="M44" s="11" t="n">
        <v>0</v>
      </c>
      <c r="N44" s="12" t="n">
        <v>10.07596</v>
      </c>
    </row>
    <row r="45" customFormat="false" ht="15" hidden="false" customHeight="false" outlineLevel="0" collapsed="false">
      <c r="A45" s="7" t="s">
        <v>1082</v>
      </c>
      <c r="B45" s="7" t="s">
        <v>1055</v>
      </c>
      <c r="C45" s="7" t="s">
        <v>1048</v>
      </c>
      <c r="D45" s="7" t="s">
        <v>1049</v>
      </c>
      <c r="E45" s="7" t="s">
        <v>41</v>
      </c>
      <c r="F45" s="7" t="s">
        <v>1081</v>
      </c>
      <c r="G45" s="10" t="n">
        <v>0</v>
      </c>
      <c r="H45" s="11" t="n">
        <v>220.37</v>
      </c>
      <c r="I45" s="11" t="n">
        <v>209.15</v>
      </c>
      <c r="J45" s="11" t="n">
        <v>209.15</v>
      </c>
      <c r="K45" s="11" t="n">
        <v>0.73</v>
      </c>
      <c r="L45" s="11" t="n">
        <v>1.1</v>
      </c>
      <c r="M45" s="11" t="n">
        <v>6.23</v>
      </c>
      <c r="N45" s="12" t="n">
        <v>16.544343</v>
      </c>
    </row>
    <row r="46" customFormat="false" ht="15" hidden="false" customHeight="false" outlineLevel="0" collapsed="false">
      <c r="A46" s="7" t="s">
        <v>1082</v>
      </c>
      <c r="B46" s="7" t="s">
        <v>1056</v>
      </c>
      <c r="C46" s="7" t="s">
        <v>1048</v>
      </c>
      <c r="D46" s="7" t="s">
        <v>1049</v>
      </c>
      <c r="E46" s="7" t="s">
        <v>41</v>
      </c>
      <c r="F46" s="7" t="s">
        <v>1081</v>
      </c>
      <c r="G46" s="10" t="n">
        <v>1000000</v>
      </c>
      <c r="H46" s="11" t="n">
        <v>222.68</v>
      </c>
      <c r="I46" s="11" t="n">
        <v>211.39</v>
      </c>
      <c r="J46" s="11" t="n">
        <v>211.39</v>
      </c>
      <c r="K46" s="11" t="n">
        <v>1.45</v>
      </c>
      <c r="L46" s="11" t="n">
        <v>1.81</v>
      </c>
      <c r="M46" s="11" t="n">
        <v>6.96</v>
      </c>
      <c r="N46" s="12" t="n">
        <v>18.966762</v>
      </c>
    </row>
    <row r="47" customFormat="false" ht="15" hidden="false" customHeight="false" outlineLevel="0" collapsed="false">
      <c r="A47" s="7" t="s">
        <v>1082</v>
      </c>
      <c r="B47" s="7" t="s">
        <v>1057</v>
      </c>
      <c r="C47" s="7" t="s">
        <v>1048</v>
      </c>
      <c r="D47" s="7" t="s">
        <v>1049</v>
      </c>
      <c r="E47" s="7" t="s">
        <v>41</v>
      </c>
      <c r="F47" s="7" t="s">
        <v>1081</v>
      </c>
      <c r="G47" s="10" t="n">
        <v>20000000</v>
      </c>
      <c r="H47" s="11" t="n">
        <v>223.76</v>
      </c>
      <c r="I47" s="11" t="n">
        <v>212.44</v>
      </c>
      <c r="J47" s="11" t="n">
        <v>212.44</v>
      </c>
      <c r="K47" s="11" t="n">
        <v>1.79</v>
      </c>
      <c r="L47" s="11" t="n">
        <v>2.15</v>
      </c>
      <c r="M47" s="11" t="n">
        <v>7.31</v>
      </c>
      <c r="N47" s="12" t="n">
        <v>19.992067</v>
      </c>
    </row>
    <row r="48" customFormat="false" ht="15" hidden="false" customHeight="false" outlineLevel="0" collapsed="false">
      <c r="A48" s="7" t="s">
        <v>1082</v>
      </c>
      <c r="B48" s="7" t="s">
        <v>1058</v>
      </c>
      <c r="C48" s="7" t="s">
        <v>1048</v>
      </c>
      <c r="D48" s="7" t="s">
        <v>1049</v>
      </c>
      <c r="E48" s="7" t="s">
        <v>41</v>
      </c>
      <c r="F48" s="7" t="s">
        <v>1081</v>
      </c>
      <c r="G48" s="10" t="n">
        <v>150000000</v>
      </c>
      <c r="H48" s="11" t="n">
        <v>225.41</v>
      </c>
      <c r="I48" s="11" t="n">
        <v>214.02</v>
      </c>
      <c r="J48" s="11" t="n">
        <v>214.02</v>
      </c>
      <c r="K48" s="11" t="n">
        <v>2.3</v>
      </c>
      <c r="L48" s="11" t="n">
        <v>2.67</v>
      </c>
      <c r="M48" s="11" t="n">
        <v>2.59</v>
      </c>
      <c r="N48" s="12" t="n">
        <v>18.660452</v>
      </c>
    </row>
    <row r="49" customFormat="false" ht="15" hidden="false" customHeight="false" outlineLevel="0" collapsed="false">
      <c r="A49" s="7" t="s">
        <v>1083</v>
      </c>
      <c r="B49" s="7" t="s">
        <v>1055</v>
      </c>
      <c r="C49" s="7" t="s">
        <v>1048</v>
      </c>
      <c r="D49" s="7" t="s">
        <v>1049</v>
      </c>
      <c r="E49" s="7" t="s">
        <v>41</v>
      </c>
      <c r="F49" s="7" t="s">
        <v>1084</v>
      </c>
      <c r="G49" s="10" t="n">
        <v>0</v>
      </c>
      <c r="H49" s="11" t="n">
        <v>77.42</v>
      </c>
      <c r="I49" s="11" t="n">
        <v>72.65</v>
      </c>
      <c r="J49" s="11" t="n">
        <v>72.65</v>
      </c>
      <c r="K49" s="11" t="n">
        <v>3.99</v>
      </c>
      <c r="L49" s="11" t="n">
        <v>3.75</v>
      </c>
      <c r="M49" s="11" t="n">
        <v>6.5</v>
      </c>
      <c r="N49" s="12" t="n">
        <v>22.257237</v>
      </c>
    </row>
    <row r="50" customFormat="false" ht="15" hidden="false" customHeight="false" outlineLevel="0" collapsed="false">
      <c r="A50" s="7" t="s">
        <v>1083</v>
      </c>
      <c r="B50" s="7" t="s">
        <v>1056</v>
      </c>
      <c r="C50" s="7" t="s">
        <v>1048</v>
      </c>
      <c r="D50" s="7" t="s">
        <v>1049</v>
      </c>
      <c r="E50" s="7" t="s">
        <v>41</v>
      </c>
      <c r="F50" s="7" t="s">
        <v>1084</v>
      </c>
      <c r="G50" s="10" t="n">
        <v>1000000</v>
      </c>
      <c r="H50" s="11" t="n">
        <v>78.61</v>
      </c>
      <c r="I50" s="11" t="n">
        <v>73.8</v>
      </c>
      <c r="J50" s="11" t="n">
        <v>73.8</v>
      </c>
      <c r="K50" s="11" t="n">
        <v>4.68</v>
      </c>
      <c r="L50" s="11" t="n">
        <v>4.44</v>
      </c>
      <c r="M50" s="11" t="n">
        <v>7.18</v>
      </c>
      <c r="N50" s="12" t="n">
        <v>24.651956</v>
      </c>
    </row>
    <row r="51" customFormat="false" ht="15" hidden="false" customHeight="false" outlineLevel="0" collapsed="false">
      <c r="A51" s="7" t="s">
        <v>1083</v>
      </c>
      <c r="B51" s="7" t="s">
        <v>1057</v>
      </c>
      <c r="C51" s="7" t="s">
        <v>1048</v>
      </c>
      <c r="D51" s="7" t="s">
        <v>1049</v>
      </c>
      <c r="E51" s="7" t="s">
        <v>41</v>
      </c>
      <c r="F51" s="7" t="s">
        <v>1084</v>
      </c>
      <c r="G51" s="10" t="n">
        <v>20000000</v>
      </c>
      <c r="H51" s="11" t="n">
        <v>79.21</v>
      </c>
      <c r="I51" s="11" t="n">
        <v>74.39</v>
      </c>
      <c r="J51" s="11" t="n">
        <v>74.39</v>
      </c>
      <c r="K51" s="11" t="n">
        <v>5.03</v>
      </c>
      <c r="L51" s="11" t="n">
        <v>4.78</v>
      </c>
      <c r="M51" s="11" t="n">
        <v>7.53</v>
      </c>
      <c r="N51" s="12" t="n">
        <v>26.107053</v>
      </c>
    </row>
    <row r="52" customFormat="false" ht="15" hidden="false" customHeight="false" outlineLevel="0" collapsed="false">
      <c r="A52" s="7" t="s">
        <v>1085</v>
      </c>
      <c r="B52" s="7" t="s">
        <v>1055</v>
      </c>
      <c r="C52" s="7" t="s">
        <v>1048</v>
      </c>
      <c r="D52" s="7" t="s">
        <v>1049</v>
      </c>
      <c r="E52" s="7" t="s">
        <v>1086</v>
      </c>
      <c r="F52" s="7" t="s">
        <v>1077</v>
      </c>
      <c r="G52" s="10" t="n">
        <v>0</v>
      </c>
      <c r="H52" s="11" t="n">
        <v>7.27</v>
      </c>
      <c r="I52" s="11" t="n">
        <v>3.37</v>
      </c>
      <c r="J52" s="11" t="n">
        <v>3.37</v>
      </c>
      <c r="K52" s="11" t="n">
        <v>4.72</v>
      </c>
      <c r="L52" s="11" t="n">
        <v>4.77</v>
      </c>
      <c r="M52" s="11" t="n">
        <v>6.46</v>
      </c>
      <c r="N52" s="12" t="n">
        <v>17.146458</v>
      </c>
    </row>
    <row r="53" customFormat="false" ht="15" hidden="false" customHeight="false" outlineLevel="0" collapsed="false">
      <c r="A53" s="7" t="s">
        <v>1085</v>
      </c>
      <c r="B53" s="7" t="s">
        <v>1056</v>
      </c>
      <c r="C53" s="7" t="s">
        <v>1048</v>
      </c>
      <c r="D53" s="7" t="s">
        <v>1049</v>
      </c>
      <c r="E53" s="7" t="s">
        <v>1086</v>
      </c>
      <c r="F53" s="7" t="s">
        <v>1077</v>
      </c>
      <c r="G53" s="10" t="n">
        <v>1000000</v>
      </c>
      <c r="H53" s="11" t="n">
        <v>7.62</v>
      </c>
      <c r="I53" s="11" t="n">
        <v>3.71</v>
      </c>
      <c r="J53" s="11" t="n">
        <v>3.71</v>
      </c>
      <c r="K53" s="11" t="n">
        <v>5.06</v>
      </c>
      <c r="L53" s="11" t="n">
        <v>5.11</v>
      </c>
      <c r="M53" s="11" t="n">
        <v>6.79</v>
      </c>
      <c r="N53" s="12" t="n">
        <v>17.754297</v>
      </c>
    </row>
    <row r="54" customFormat="false" ht="15" hidden="false" customHeight="false" outlineLevel="0" collapsed="false">
      <c r="A54" s="7" t="s">
        <v>1085</v>
      </c>
      <c r="B54" s="7" t="s">
        <v>1057</v>
      </c>
      <c r="C54" s="7" t="s">
        <v>1048</v>
      </c>
      <c r="D54" s="7" t="s">
        <v>1049</v>
      </c>
      <c r="E54" s="7" t="s">
        <v>1086</v>
      </c>
      <c r="F54" s="7" t="s">
        <v>1077</v>
      </c>
      <c r="G54" s="10" t="n">
        <v>20000000</v>
      </c>
      <c r="H54" s="11" t="n">
        <v>7.8</v>
      </c>
      <c r="I54" s="11" t="n">
        <v>3.88</v>
      </c>
      <c r="J54" s="11" t="n">
        <v>3.88</v>
      </c>
      <c r="K54" s="11" t="n">
        <v>5.23</v>
      </c>
      <c r="L54" s="11" t="n">
        <v>5.29</v>
      </c>
      <c r="M54" s="11" t="n">
        <v>0</v>
      </c>
      <c r="N54" s="12" t="n">
        <v>15.938344</v>
      </c>
    </row>
    <row r="55" customFormat="false" ht="15" hidden="false" customHeight="false" outlineLevel="0" collapsed="false">
      <c r="A55" s="7" t="s">
        <v>1085</v>
      </c>
      <c r="B55" s="7" t="s">
        <v>1058</v>
      </c>
      <c r="C55" s="7" t="s">
        <v>1048</v>
      </c>
      <c r="D55" s="7" t="s">
        <v>1049</v>
      </c>
      <c r="E55" s="7" t="s">
        <v>1086</v>
      </c>
      <c r="F55" s="7" t="s">
        <v>1077</v>
      </c>
      <c r="G55" s="10" t="n">
        <v>150000000</v>
      </c>
      <c r="H55" s="11" t="n">
        <v>0</v>
      </c>
      <c r="I55" s="11" t="n">
        <v>0</v>
      </c>
      <c r="J55" s="11" t="n">
        <v>0</v>
      </c>
      <c r="K55" s="11" t="n">
        <v>0</v>
      </c>
      <c r="L55" s="11" t="n">
        <v>0</v>
      </c>
      <c r="M55" s="11" t="n">
        <v>0</v>
      </c>
      <c r="N55" s="12" t="n">
        <v>11.913113</v>
      </c>
    </row>
    <row r="56" customFormat="false" ht="15" hidden="false" customHeight="false" outlineLevel="0" collapsed="false">
      <c r="A56" s="7" t="s">
        <v>1087</v>
      </c>
      <c r="B56" s="7" t="s">
        <v>1055</v>
      </c>
      <c r="C56" s="7" t="s">
        <v>1048</v>
      </c>
      <c r="D56" s="7" t="s">
        <v>1088</v>
      </c>
      <c r="E56" s="7" t="s">
        <v>1088</v>
      </c>
      <c r="F56" s="7" t="s">
        <v>1089</v>
      </c>
      <c r="G56" s="10" t="n">
        <v>500000</v>
      </c>
      <c r="H56" s="11" t="n">
        <v>26.52</v>
      </c>
      <c r="I56" s="11" t="n">
        <v>-23.33</v>
      </c>
      <c r="J56" s="11" t="n">
        <v>-23.33</v>
      </c>
      <c r="K56" s="11" t="n">
        <v>0.47</v>
      </c>
      <c r="L56" s="11" t="n">
        <v>-1.49</v>
      </c>
      <c r="M56" s="11" t="n">
        <v>-2.22</v>
      </c>
      <c r="N56" s="12" t="n">
        <v>18.270175</v>
      </c>
    </row>
    <row r="57" customFormat="false" ht="15" hidden="false" customHeight="false" outlineLevel="0" collapsed="false">
      <c r="A57" s="7" t="s">
        <v>1087</v>
      </c>
      <c r="B57" s="7" t="s">
        <v>1090</v>
      </c>
      <c r="C57" s="7" t="s">
        <v>1048</v>
      </c>
      <c r="D57" s="7" t="s">
        <v>1088</v>
      </c>
      <c r="E57" s="7" t="s">
        <v>1088</v>
      </c>
      <c r="F57" s="7" t="s">
        <v>1089</v>
      </c>
      <c r="G57" s="10" t="n">
        <v>0</v>
      </c>
      <c r="H57" s="11" t="n">
        <v>26.48</v>
      </c>
      <c r="I57" s="11" t="n">
        <v>-23.35</v>
      </c>
      <c r="J57" s="11" t="n">
        <v>-23.35</v>
      </c>
      <c r="K57" s="11" t="n">
        <v>0.45</v>
      </c>
      <c r="L57" s="11" t="n">
        <v>-1.51</v>
      </c>
      <c r="M57" s="11" t="n">
        <v>-2.24</v>
      </c>
      <c r="N57" s="12" t="n">
        <v>18.011694</v>
      </c>
    </row>
    <row r="58" customFormat="false" ht="15" hidden="false" customHeight="false" outlineLevel="0" collapsed="false">
      <c r="A58" s="7" t="s">
        <v>1087</v>
      </c>
      <c r="B58" s="7" t="s">
        <v>1056</v>
      </c>
      <c r="C58" s="7" t="s">
        <v>1048</v>
      </c>
      <c r="D58" s="7" t="s">
        <v>1088</v>
      </c>
      <c r="E58" s="7" t="s">
        <v>1088</v>
      </c>
      <c r="F58" s="7" t="s">
        <v>1089</v>
      </c>
      <c r="G58" s="10" t="n">
        <v>1000000</v>
      </c>
      <c r="H58" s="11" t="n">
        <v>26.92</v>
      </c>
      <c r="I58" s="11" t="n">
        <v>-23.09</v>
      </c>
      <c r="J58" s="11" t="n">
        <v>-23.09</v>
      </c>
      <c r="K58" s="11" t="n">
        <v>0.79</v>
      </c>
      <c r="L58" s="11" t="n">
        <v>-1.18</v>
      </c>
      <c r="M58" s="11" t="n">
        <v>-1.92</v>
      </c>
      <c r="N58" s="12" t="n">
        <v>18.857319</v>
      </c>
    </row>
    <row r="59" customFormat="false" ht="15" hidden="false" customHeight="false" outlineLevel="0" collapsed="false">
      <c r="A59" s="7" t="s">
        <v>1087</v>
      </c>
      <c r="B59" s="7" t="s">
        <v>1057</v>
      </c>
      <c r="C59" s="7" t="s">
        <v>1048</v>
      </c>
      <c r="D59" s="7" t="s">
        <v>1088</v>
      </c>
      <c r="E59" s="7" t="s">
        <v>1088</v>
      </c>
      <c r="F59" s="7" t="s">
        <v>1089</v>
      </c>
      <c r="G59" s="10" t="n">
        <v>20000000</v>
      </c>
      <c r="H59" s="11" t="n">
        <v>27.34</v>
      </c>
      <c r="I59" s="11" t="n">
        <v>-22.84</v>
      </c>
      <c r="J59" s="11" t="n">
        <v>-22.84</v>
      </c>
      <c r="K59" s="11" t="n">
        <v>1.12</v>
      </c>
      <c r="L59" s="11" t="n">
        <v>-0.86</v>
      </c>
      <c r="M59" s="11" t="n">
        <v>-1.61</v>
      </c>
      <c r="N59" s="12" t="n">
        <v>19.830059</v>
      </c>
    </row>
    <row r="60" customFormat="false" ht="15" hidden="false" customHeight="false" outlineLevel="0" collapsed="false">
      <c r="A60" s="7" t="s">
        <v>1087</v>
      </c>
      <c r="B60" s="7" t="s">
        <v>1058</v>
      </c>
      <c r="C60" s="7" t="s">
        <v>1048</v>
      </c>
      <c r="D60" s="7" t="s">
        <v>1088</v>
      </c>
      <c r="E60" s="7" t="s">
        <v>1088</v>
      </c>
      <c r="F60" s="7" t="s">
        <v>1089</v>
      </c>
      <c r="G60" s="10" t="n">
        <v>150000000</v>
      </c>
      <c r="H60" s="11" t="n">
        <v>27.52</v>
      </c>
      <c r="I60" s="11" t="n">
        <v>-22.72</v>
      </c>
      <c r="J60" s="11" t="n">
        <v>-22.72</v>
      </c>
      <c r="K60" s="11" t="n">
        <v>1.26</v>
      </c>
      <c r="L60" s="11" t="n">
        <v>-0.7</v>
      </c>
      <c r="M60" s="11" t="n">
        <v>-1.43</v>
      </c>
      <c r="N60" s="12" t="n">
        <v>17.062281</v>
      </c>
    </row>
    <row r="61" customFormat="false" ht="15" hidden="false" customHeight="false" outlineLevel="0" collapsed="false">
      <c r="A61" s="7" t="s">
        <v>1091</v>
      </c>
      <c r="B61" s="7" t="s">
        <v>1047</v>
      </c>
      <c r="C61" s="7" t="s">
        <v>1048</v>
      </c>
      <c r="D61" s="7" t="s">
        <v>1088</v>
      </c>
      <c r="E61" s="7" t="s">
        <v>1088</v>
      </c>
      <c r="F61" s="7" t="s">
        <v>1089</v>
      </c>
      <c r="G61" s="10" t="n">
        <v>0</v>
      </c>
      <c r="H61" s="11" t="n">
        <v>-84.63</v>
      </c>
      <c r="I61" s="11" t="n">
        <v>-64.35</v>
      </c>
      <c r="J61" s="11" t="n">
        <v>-64.35</v>
      </c>
      <c r="K61" s="11" t="n">
        <v>-8.56</v>
      </c>
      <c r="L61" s="11" t="n">
        <v>-8.38</v>
      </c>
      <c r="M61" s="11" t="n">
        <v>-4.77</v>
      </c>
      <c r="N61" s="12" t="n">
        <v>57.535411</v>
      </c>
    </row>
    <row r="62" customFormat="false" ht="15" hidden="false" customHeight="false" outlineLevel="0" collapsed="false">
      <c r="A62" s="7" t="s">
        <v>1091</v>
      </c>
      <c r="B62" s="7" t="s">
        <v>1055</v>
      </c>
      <c r="C62" s="7" t="s">
        <v>1048</v>
      </c>
      <c r="D62" s="7" t="s">
        <v>1088</v>
      </c>
      <c r="E62" s="7" t="s">
        <v>1088</v>
      </c>
      <c r="F62" s="7" t="s">
        <v>1089</v>
      </c>
      <c r="G62" s="10" t="n">
        <v>500000</v>
      </c>
      <c r="H62" s="11" t="n">
        <v>-84.63</v>
      </c>
      <c r="I62" s="11" t="n">
        <v>-64.34</v>
      </c>
      <c r="J62" s="11" t="n">
        <v>-64.34</v>
      </c>
      <c r="K62" s="11" t="n">
        <v>-8.54</v>
      </c>
      <c r="L62" s="11" t="n">
        <v>-8.37</v>
      </c>
      <c r="M62" s="11" t="n">
        <v>-4.76</v>
      </c>
      <c r="N62" s="12" t="n">
        <v>58.028025</v>
      </c>
    </row>
    <row r="63" customFormat="false" ht="15" hidden="false" customHeight="false" outlineLevel="0" collapsed="false">
      <c r="A63" s="7" t="s">
        <v>1091</v>
      </c>
      <c r="B63" s="7" t="s">
        <v>1056</v>
      </c>
      <c r="C63" s="7" t="s">
        <v>1048</v>
      </c>
      <c r="D63" s="7" t="s">
        <v>1088</v>
      </c>
      <c r="E63" s="7" t="s">
        <v>1088</v>
      </c>
      <c r="F63" s="7" t="s">
        <v>1089</v>
      </c>
      <c r="G63" s="10" t="n">
        <v>1000000</v>
      </c>
      <c r="H63" s="11" t="n">
        <v>-84.58</v>
      </c>
      <c r="I63" s="11" t="n">
        <v>-64.22</v>
      </c>
      <c r="J63" s="11" t="n">
        <v>-64.22</v>
      </c>
      <c r="K63" s="11" t="n">
        <v>-8.23</v>
      </c>
      <c r="L63" s="11" t="n">
        <v>-8.07</v>
      </c>
      <c r="M63" s="11" t="n">
        <v>-4.45</v>
      </c>
      <c r="N63" s="12" t="n">
        <v>61.102417</v>
      </c>
    </row>
    <row r="64" customFormat="false" ht="15" hidden="false" customHeight="false" outlineLevel="0" collapsed="false">
      <c r="A64" s="7" t="s">
        <v>1091</v>
      </c>
      <c r="B64" s="7" t="s">
        <v>1057</v>
      </c>
      <c r="C64" s="7" t="s">
        <v>1048</v>
      </c>
      <c r="D64" s="7" t="s">
        <v>1088</v>
      </c>
      <c r="E64" s="7" t="s">
        <v>1088</v>
      </c>
      <c r="F64" s="7" t="s">
        <v>1089</v>
      </c>
      <c r="G64" s="10" t="n">
        <v>20000000</v>
      </c>
      <c r="H64" s="11" t="n">
        <v>-84.52</v>
      </c>
      <c r="I64" s="11" t="n">
        <v>-64.1</v>
      </c>
      <c r="J64" s="11" t="n">
        <v>-64.1</v>
      </c>
      <c r="K64" s="11" t="n">
        <v>-7.93</v>
      </c>
      <c r="L64" s="11" t="n">
        <v>-7.76</v>
      </c>
      <c r="M64" s="11" t="n">
        <v>-4.15</v>
      </c>
      <c r="N64" s="12" t="n">
        <v>64.654643</v>
      </c>
    </row>
    <row r="65" customFormat="false" ht="15" hidden="false" customHeight="false" outlineLevel="0" collapsed="false">
      <c r="A65" s="7" t="s">
        <v>1091</v>
      </c>
      <c r="B65" s="7" t="s">
        <v>1058</v>
      </c>
      <c r="C65" s="7" t="s">
        <v>1048</v>
      </c>
      <c r="D65" s="7" t="s">
        <v>1088</v>
      </c>
      <c r="E65" s="7" t="s">
        <v>1088</v>
      </c>
      <c r="F65" s="7" t="s">
        <v>1089</v>
      </c>
      <c r="G65" s="10" t="n">
        <v>150000000</v>
      </c>
      <c r="H65" s="11" t="n">
        <v>0</v>
      </c>
      <c r="I65" s="11" t="n">
        <v>0</v>
      </c>
      <c r="J65" s="11" t="n">
        <v>0</v>
      </c>
      <c r="K65" s="11" t="n">
        <v>0</v>
      </c>
      <c r="L65" s="11" t="n">
        <v>0</v>
      </c>
      <c r="M65" s="11" t="n">
        <v>0</v>
      </c>
      <c r="N65" s="12" t="n">
        <v>52.775766</v>
      </c>
    </row>
    <row r="66" customFormat="false" ht="15" hidden="false" customHeight="false" outlineLevel="0" collapsed="false">
      <c r="A66" s="7" t="s">
        <v>1092</v>
      </c>
      <c r="B66" s="7" t="s">
        <v>1055</v>
      </c>
      <c r="C66" s="7" t="s">
        <v>1048</v>
      </c>
      <c r="D66" s="7" t="s">
        <v>1093</v>
      </c>
      <c r="E66" s="7" t="s">
        <v>1088</v>
      </c>
      <c r="F66" s="7" t="s">
        <v>1075</v>
      </c>
      <c r="G66" s="10" t="n">
        <v>0</v>
      </c>
      <c r="H66" s="11" t="n">
        <v>4.13</v>
      </c>
      <c r="I66" s="11" t="n">
        <v>3.75</v>
      </c>
      <c r="J66" s="11" t="n">
        <v>3.75</v>
      </c>
      <c r="K66" s="11" t="n">
        <v>3.86</v>
      </c>
      <c r="L66" s="11" t="n">
        <v>4.09</v>
      </c>
      <c r="M66" s="11" t="n">
        <v>5.42</v>
      </c>
      <c r="N66" s="12" t="n">
        <v>0.168933</v>
      </c>
    </row>
    <row r="67" customFormat="false" ht="15" hidden="false" customHeight="false" outlineLevel="0" collapsed="false">
      <c r="A67" s="7" t="s">
        <v>1092</v>
      </c>
      <c r="B67" s="7" t="s">
        <v>1056</v>
      </c>
      <c r="C67" s="7" t="s">
        <v>1048</v>
      </c>
      <c r="D67" s="7" t="s">
        <v>1093</v>
      </c>
      <c r="E67" s="7" t="s">
        <v>1088</v>
      </c>
      <c r="F67" s="7" t="s">
        <v>1075</v>
      </c>
      <c r="G67" s="10" t="n">
        <v>1000000</v>
      </c>
      <c r="H67" s="11" t="n">
        <v>4.44</v>
      </c>
      <c r="I67" s="11" t="n">
        <v>4.04</v>
      </c>
      <c r="J67" s="11" t="n">
        <v>4.04</v>
      </c>
      <c r="K67" s="11" t="n">
        <v>4.16</v>
      </c>
      <c r="L67" s="11" t="n">
        <v>4.39</v>
      </c>
      <c r="M67" s="11" t="n">
        <v>5.72</v>
      </c>
      <c r="N67" s="12" t="n">
        <v>0.174225</v>
      </c>
    </row>
    <row r="68" customFormat="false" ht="15" hidden="false" customHeight="false" outlineLevel="0" collapsed="false">
      <c r="A68" s="7" t="s">
        <v>1092</v>
      </c>
      <c r="B68" s="7" t="s">
        <v>1057</v>
      </c>
      <c r="C68" s="7" t="s">
        <v>1048</v>
      </c>
      <c r="D68" s="7" t="s">
        <v>1093</v>
      </c>
      <c r="E68" s="7" t="s">
        <v>1088</v>
      </c>
      <c r="F68" s="7" t="s">
        <v>1075</v>
      </c>
      <c r="G68" s="10" t="n">
        <v>20000000</v>
      </c>
      <c r="H68" s="11" t="n">
        <v>4.72</v>
      </c>
      <c r="I68" s="11" t="n">
        <v>4.33</v>
      </c>
      <c r="J68" s="11" t="n">
        <v>4.33</v>
      </c>
      <c r="K68" s="11" t="n">
        <v>4.45</v>
      </c>
      <c r="L68" s="11" t="n">
        <v>4.69</v>
      </c>
      <c r="M68" s="11" t="n">
        <v>6.02</v>
      </c>
      <c r="N68" s="12" t="n">
        <v>0.17968</v>
      </c>
    </row>
    <row r="69" customFormat="false" ht="15" hidden="false" customHeight="false" outlineLevel="0" collapsed="false">
      <c r="A69" s="7" t="s">
        <v>1092</v>
      </c>
      <c r="B69" s="7" t="s">
        <v>1058</v>
      </c>
      <c r="C69" s="7" t="s">
        <v>1048</v>
      </c>
      <c r="D69" s="7" t="s">
        <v>1093</v>
      </c>
      <c r="E69" s="7" t="s">
        <v>1088</v>
      </c>
      <c r="F69" s="7" t="s">
        <v>1075</v>
      </c>
      <c r="G69" s="10" t="n">
        <v>150000000</v>
      </c>
      <c r="H69" s="11" t="n">
        <v>0</v>
      </c>
      <c r="I69" s="11" t="n">
        <v>0</v>
      </c>
      <c r="J69" s="11" t="n">
        <v>0</v>
      </c>
      <c r="K69" s="11" t="n">
        <v>0</v>
      </c>
      <c r="L69" s="11" t="n">
        <v>0</v>
      </c>
      <c r="M69" s="11" t="n">
        <v>0</v>
      </c>
      <c r="N69" s="12" t="n">
        <v>0.183305</v>
      </c>
    </row>
    <row r="70" customFormat="false" ht="15" hidden="false" customHeight="false" outlineLevel="0" collapsed="false">
      <c r="A70" s="7" t="s">
        <v>1092</v>
      </c>
      <c r="B70" s="7" t="s">
        <v>1071</v>
      </c>
      <c r="C70" s="7" t="s">
        <v>1048</v>
      </c>
      <c r="D70" s="7" t="s">
        <v>1093</v>
      </c>
      <c r="E70" s="7" t="s">
        <v>1088</v>
      </c>
      <c r="F70" s="7" t="s">
        <v>1075</v>
      </c>
      <c r="G70" s="10" t="n">
        <v>300000000</v>
      </c>
      <c r="H70" s="11" t="n">
        <v>0</v>
      </c>
      <c r="I70" s="11" t="n">
        <v>0</v>
      </c>
      <c r="J70" s="11" t="n">
        <v>0</v>
      </c>
      <c r="K70" s="11" t="n">
        <v>0</v>
      </c>
      <c r="L70" s="11" t="n">
        <v>0</v>
      </c>
      <c r="M70" s="11" t="n">
        <v>0</v>
      </c>
      <c r="N70" s="12" t="n">
        <v>0.132435</v>
      </c>
    </row>
    <row r="71" customFormat="false" ht="15" hidden="false" customHeight="false" outlineLevel="0" collapsed="false">
      <c r="A71" s="7" t="s">
        <v>1094</v>
      </c>
      <c r="B71" s="7" t="s">
        <v>1055</v>
      </c>
      <c r="C71" s="7" t="s">
        <v>1048</v>
      </c>
      <c r="D71" s="7" t="s">
        <v>1093</v>
      </c>
      <c r="E71" s="7" t="s">
        <v>1095</v>
      </c>
      <c r="F71" s="7" t="s">
        <v>1096</v>
      </c>
      <c r="G71" s="10" t="n">
        <v>0</v>
      </c>
      <c r="H71" s="11" t="n">
        <v>29.39</v>
      </c>
      <c r="I71" s="11" t="n">
        <v>-21.81</v>
      </c>
      <c r="J71" s="11" t="n">
        <v>-21.81</v>
      </c>
      <c r="K71" s="11" t="n">
        <v>0.04</v>
      </c>
      <c r="L71" s="11" t="n">
        <v>-1.76</v>
      </c>
      <c r="M71" s="11" t="n">
        <v>-2.29</v>
      </c>
      <c r="N71" s="12" t="n">
        <v>0.093643</v>
      </c>
    </row>
    <row r="72" customFormat="false" ht="15" hidden="false" customHeight="false" outlineLevel="0" collapsed="false">
      <c r="A72" s="7" t="s">
        <v>1094</v>
      </c>
      <c r="B72" s="7" t="s">
        <v>1056</v>
      </c>
      <c r="C72" s="7" t="s">
        <v>1048</v>
      </c>
      <c r="D72" s="7" t="s">
        <v>1093</v>
      </c>
      <c r="E72" s="7" t="s">
        <v>1095</v>
      </c>
      <c r="F72" s="7" t="s">
        <v>1096</v>
      </c>
      <c r="G72" s="10" t="n">
        <v>1000000</v>
      </c>
      <c r="H72" s="11" t="n">
        <v>29.38</v>
      </c>
      <c r="I72" s="11" t="n">
        <v>-21.58</v>
      </c>
      <c r="J72" s="11" t="n">
        <v>-21.58</v>
      </c>
      <c r="K72" s="11" t="n">
        <v>0.35</v>
      </c>
      <c r="L72" s="11" t="n">
        <v>-1.46</v>
      </c>
      <c r="M72" s="11" t="n">
        <v>-2</v>
      </c>
      <c r="N72" s="12" t="n">
        <v>0.096468</v>
      </c>
    </row>
    <row r="73" customFormat="false" ht="15" hidden="false" customHeight="false" outlineLevel="0" collapsed="false">
      <c r="A73" s="7" t="s">
        <v>1094</v>
      </c>
      <c r="B73" s="7" t="s">
        <v>1057</v>
      </c>
      <c r="C73" s="7" t="s">
        <v>1048</v>
      </c>
      <c r="D73" s="7" t="s">
        <v>1093</v>
      </c>
      <c r="E73" s="7" t="s">
        <v>1095</v>
      </c>
      <c r="F73" s="7" t="s">
        <v>1096</v>
      </c>
      <c r="G73" s="10" t="n">
        <v>20000000</v>
      </c>
      <c r="H73" s="11" t="n">
        <v>29.81</v>
      </c>
      <c r="I73" s="11" t="n">
        <v>-21.3</v>
      </c>
      <c r="J73" s="11" t="n">
        <v>-21.3</v>
      </c>
      <c r="K73" s="11" t="n">
        <v>0.67</v>
      </c>
      <c r="L73" s="11" t="n">
        <v>-1.16</v>
      </c>
      <c r="M73" s="11" t="n">
        <v>-1.7</v>
      </c>
      <c r="N73" s="12" t="n">
        <v>0.099374</v>
      </c>
    </row>
    <row r="74" customFormat="false" ht="15" hidden="false" customHeight="false" outlineLevel="0" collapsed="false">
      <c r="A74" s="7" t="s">
        <v>1094</v>
      </c>
      <c r="B74" s="7" t="s">
        <v>1058</v>
      </c>
      <c r="C74" s="7" t="s">
        <v>1048</v>
      </c>
      <c r="D74" s="7" t="s">
        <v>1093</v>
      </c>
      <c r="E74" s="7" t="s">
        <v>1095</v>
      </c>
      <c r="F74" s="7" t="s">
        <v>1096</v>
      </c>
      <c r="G74" s="10" t="n">
        <v>150000000</v>
      </c>
      <c r="H74" s="11" t="n">
        <v>0</v>
      </c>
      <c r="I74" s="11" t="n">
        <v>0</v>
      </c>
      <c r="J74" s="11" t="n">
        <v>0</v>
      </c>
      <c r="K74" s="11" t="n">
        <v>0</v>
      </c>
      <c r="L74" s="11" t="n">
        <v>0</v>
      </c>
      <c r="M74" s="11" t="n">
        <v>0</v>
      </c>
      <c r="N74" s="12" t="n">
        <v>0.110918</v>
      </c>
    </row>
    <row r="75" customFormat="false" ht="15" hidden="false" customHeight="false" outlineLevel="0" collapsed="false">
      <c r="A75" s="7" t="s">
        <v>1094</v>
      </c>
      <c r="B75" s="7" t="s">
        <v>1071</v>
      </c>
      <c r="C75" s="7" t="s">
        <v>1048</v>
      </c>
      <c r="D75" s="7" t="s">
        <v>1093</v>
      </c>
      <c r="E75" s="7" t="s">
        <v>1095</v>
      </c>
      <c r="F75" s="7" t="s">
        <v>1096</v>
      </c>
      <c r="G75" s="10" t="n">
        <v>300000000</v>
      </c>
      <c r="H75" s="11" t="n">
        <v>0</v>
      </c>
      <c r="I75" s="11" t="n">
        <v>0</v>
      </c>
      <c r="J75" s="11" t="n">
        <v>0</v>
      </c>
      <c r="K75" s="11" t="n">
        <v>0</v>
      </c>
      <c r="L75" s="11" t="n">
        <v>0</v>
      </c>
      <c r="M75" s="11" t="n">
        <v>0</v>
      </c>
      <c r="N75" s="12" t="n">
        <v>0.112348</v>
      </c>
    </row>
    <row r="76" customFormat="false" ht="15" hidden="false" customHeight="false" outlineLevel="0" collapsed="false">
      <c r="A76" s="7" t="s">
        <v>1094</v>
      </c>
      <c r="B76" s="7" t="s">
        <v>1055</v>
      </c>
      <c r="C76" s="7" t="s">
        <v>1048</v>
      </c>
      <c r="D76" s="7" t="s">
        <v>1093</v>
      </c>
      <c r="E76" s="7" t="s">
        <v>1095</v>
      </c>
      <c r="F76" s="7" t="s">
        <v>1096</v>
      </c>
      <c r="G76" s="10" t="n">
        <v>0</v>
      </c>
      <c r="H76" s="11" t="n">
        <v>3.4</v>
      </c>
      <c r="I76" s="11" t="n">
        <v>3.14</v>
      </c>
      <c r="J76" s="11" t="n">
        <v>3.14</v>
      </c>
      <c r="K76" s="11" t="n">
        <v>0.22</v>
      </c>
      <c r="L76" s="11" t="n">
        <v>0.45</v>
      </c>
      <c r="M76" s="11" t="n">
        <v>1.18</v>
      </c>
      <c r="N76" s="12" t="n">
        <v>0.00521</v>
      </c>
    </row>
    <row r="77" customFormat="false" ht="15" hidden="false" customHeight="false" outlineLevel="0" collapsed="false">
      <c r="A77" s="7" t="s">
        <v>1094</v>
      </c>
      <c r="B77" s="7" t="s">
        <v>1056</v>
      </c>
      <c r="C77" s="7" t="s">
        <v>1048</v>
      </c>
      <c r="D77" s="7" t="s">
        <v>1093</v>
      </c>
      <c r="E77" s="7" t="s">
        <v>1095</v>
      </c>
      <c r="F77" s="7" t="s">
        <v>1096</v>
      </c>
      <c r="G77" s="10" t="n">
        <v>1000000</v>
      </c>
      <c r="H77" s="11" t="n">
        <v>3.39</v>
      </c>
      <c r="I77" s="11" t="n">
        <v>3.45</v>
      </c>
      <c r="J77" s="11" t="n">
        <v>3.45</v>
      </c>
      <c r="K77" s="11" t="n">
        <v>0.53</v>
      </c>
      <c r="L77" s="11" t="n">
        <v>0.76</v>
      </c>
      <c r="M77" s="11" t="n">
        <v>1.49</v>
      </c>
      <c r="N77" s="12" t="n">
        <v>0.005368</v>
      </c>
    </row>
    <row r="78" customFormat="false" ht="15" hidden="false" customHeight="false" outlineLevel="0" collapsed="false">
      <c r="A78" s="7" t="s">
        <v>1094</v>
      </c>
      <c r="B78" s="7" t="s">
        <v>1057</v>
      </c>
      <c r="C78" s="7" t="s">
        <v>1048</v>
      </c>
      <c r="D78" s="7" t="s">
        <v>1093</v>
      </c>
      <c r="E78" s="7" t="s">
        <v>1095</v>
      </c>
      <c r="F78" s="7" t="s">
        <v>1096</v>
      </c>
      <c r="G78" s="10" t="n">
        <v>20000000</v>
      </c>
      <c r="H78" s="11" t="n">
        <v>3.73</v>
      </c>
      <c r="I78" s="11" t="n">
        <v>3.81</v>
      </c>
      <c r="J78" s="11" t="n">
        <v>3.81</v>
      </c>
      <c r="K78" s="11" t="n">
        <v>0.84</v>
      </c>
      <c r="L78" s="11" t="n">
        <v>1.07</v>
      </c>
      <c r="M78" s="11" t="n">
        <v>1.8</v>
      </c>
      <c r="N78" s="12" t="n">
        <v>0.005529</v>
      </c>
    </row>
    <row r="79" customFormat="false" ht="15" hidden="false" customHeight="false" outlineLevel="0" collapsed="false">
      <c r="A79" s="7" t="s">
        <v>1094</v>
      </c>
      <c r="B79" s="7" t="s">
        <v>1058</v>
      </c>
      <c r="C79" s="7" t="s">
        <v>1048</v>
      </c>
      <c r="D79" s="7" t="s">
        <v>1093</v>
      </c>
      <c r="E79" s="7" t="s">
        <v>1095</v>
      </c>
      <c r="F79" s="7" t="s">
        <v>1096</v>
      </c>
      <c r="G79" s="10" t="n">
        <v>150000000</v>
      </c>
      <c r="H79" s="11" t="n">
        <v>0</v>
      </c>
      <c r="I79" s="11" t="n">
        <v>0</v>
      </c>
      <c r="J79" s="11" t="n">
        <v>0</v>
      </c>
      <c r="K79" s="11" t="n">
        <v>0</v>
      </c>
      <c r="L79" s="11" t="n">
        <v>0</v>
      </c>
      <c r="M79" s="11" t="n">
        <v>0</v>
      </c>
      <c r="N79" s="12" t="n">
        <v>0.006172</v>
      </c>
    </row>
    <row r="80" customFormat="false" ht="15" hidden="false" customHeight="false" outlineLevel="0" collapsed="false">
      <c r="A80" s="7" t="s">
        <v>1094</v>
      </c>
      <c r="B80" s="7" t="s">
        <v>1071</v>
      </c>
      <c r="C80" s="7" t="s">
        <v>1048</v>
      </c>
      <c r="D80" s="7" t="s">
        <v>1093</v>
      </c>
      <c r="E80" s="7" t="s">
        <v>1095</v>
      </c>
      <c r="F80" s="7" t="s">
        <v>1096</v>
      </c>
      <c r="G80" s="10" t="n">
        <v>300000000</v>
      </c>
      <c r="H80" s="11" t="n">
        <v>0</v>
      </c>
      <c r="I80" s="11" t="n">
        <v>0</v>
      </c>
      <c r="J80" s="11" t="n">
        <v>0</v>
      </c>
      <c r="K80" s="11" t="n">
        <v>0</v>
      </c>
      <c r="L80" s="11" t="n">
        <v>0</v>
      </c>
      <c r="M80" s="11" t="n">
        <v>0</v>
      </c>
      <c r="N80" s="12" t="n">
        <v>0.006251</v>
      </c>
    </row>
    <row r="81" customFormat="false" ht="15" hidden="false" customHeight="false" outlineLevel="0" collapsed="false">
      <c r="A81" s="7" t="s">
        <v>1097</v>
      </c>
      <c r="B81" s="7" t="s">
        <v>1055</v>
      </c>
      <c r="C81" s="7" t="s">
        <v>1048</v>
      </c>
      <c r="D81" s="7" t="s">
        <v>1098</v>
      </c>
      <c r="E81" s="7" t="s">
        <v>49</v>
      </c>
      <c r="F81" s="7"/>
      <c r="G81" s="10" t="n">
        <v>0</v>
      </c>
      <c r="H81" s="11" t="n">
        <v>-1</v>
      </c>
      <c r="I81" s="11" t="n">
        <v>1.06</v>
      </c>
      <c r="J81" s="11" t="n">
        <v>1.06</v>
      </c>
      <c r="K81" s="11" t="n">
        <v>3.63</v>
      </c>
      <c r="L81" s="11" t="n">
        <v>12.09</v>
      </c>
      <c r="M81" s="11" t="n">
        <v>32.11</v>
      </c>
      <c r="N81" s="12" t="n">
        <v>16.805545</v>
      </c>
    </row>
    <row r="82" customFormat="false" ht="15" hidden="false" customHeight="false" outlineLevel="0" collapsed="false">
      <c r="A82" s="7" t="s">
        <v>1097</v>
      </c>
      <c r="B82" s="7" t="s">
        <v>1056</v>
      </c>
      <c r="C82" s="7" t="s">
        <v>1048</v>
      </c>
      <c r="D82" s="7" t="s">
        <v>1098</v>
      </c>
      <c r="E82" s="7" t="s">
        <v>49</v>
      </c>
      <c r="F82" s="7"/>
      <c r="G82" s="10" t="n">
        <v>1000000</v>
      </c>
      <c r="H82" s="11" t="n">
        <v>-0.99</v>
      </c>
      <c r="I82" s="11" t="n">
        <v>1.07</v>
      </c>
      <c r="J82" s="11" t="n">
        <v>1.07</v>
      </c>
      <c r="K82" s="11" t="n">
        <v>4.09</v>
      </c>
      <c r="L82" s="11" t="n">
        <v>12.74</v>
      </c>
      <c r="M82" s="11" t="n">
        <v>33.65</v>
      </c>
      <c r="N82" s="12" t="n">
        <v>18.363737</v>
      </c>
    </row>
    <row r="83" customFormat="false" ht="15" hidden="false" customHeight="false" outlineLevel="0" collapsed="false">
      <c r="A83" s="7" t="s">
        <v>1097</v>
      </c>
      <c r="B83" s="7" t="s">
        <v>1057</v>
      </c>
      <c r="C83" s="7" t="s">
        <v>1048</v>
      </c>
      <c r="D83" s="7" t="s">
        <v>1098</v>
      </c>
      <c r="E83" s="7" t="s">
        <v>49</v>
      </c>
      <c r="F83" s="7"/>
      <c r="G83" s="10" t="n">
        <v>20000000</v>
      </c>
      <c r="H83" s="11" t="n">
        <v>-0.99</v>
      </c>
      <c r="I83" s="11" t="n">
        <v>1.08</v>
      </c>
      <c r="J83" s="11" t="n">
        <v>1.08</v>
      </c>
      <c r="K83" s="11" t="n">
        <v>4.56</v>
      </c>
      <c r="L83" s="11" t="n">
        <v>13.4</v>
      </c>
      <c r="M83" s="11" t="n">
        <v>35.25</v>
      </c>
      <c r="N83" s="12" t="n">
        <v>20.965501</v>
      </c>
    </row>
    <row r="84" customFormat="false" ht="15" hidden="false" customHeight="false" outlineLevel="0" collapsed="false">
      <c r="A84" s="7" t="s">
        <v>1097</v>
      </c>
      <c r="B84" s="7" t="s">
        <v>1058</v>
      </c>
      <c r="C84" s="7" t="s">
        <v>1048</v>
      </c>
      <c r="D84" s="7" t="s">
        <v>1098</v>
      </c>
      <c r="E84" s="7" t="s">
        <v>49</v>
      </c>
      <c r="F84" s="7"/>
      <c r="G84" s="10" t="n">
        <v>150000000</v>
      </c>
      <c r="H84" s="11" t="n">
        <v>-0.99</v>
      </c>
      <c r="I84" s="11" t="n">
        <v>1.09</v>
      </c>
      <c r="J84" s="11" t="n">
        <v>1.09</v>
      </c>
      <c r="K84" s="11" t="n">
        <v>5.02</v>
      </c>
      <c r="L84" s="11" t="n">
        <v>14.06</v>
      </c>
      <c r="M84" s="11" t="n">
        <v>36.83</v>
      </c>
      <c r="N84" s="12" t="n">
        <v>20.616307</v>
      </c>
    </row>
    <row r="85" customFormat="false" ht="15" hidden="false" customHeight="false" outlineLevel="0" collapsed="false">
      <c r="A85" s="7" t="s">
        <v>1099</v>
      </c>
      <c r="B85" s="7" t="s">
        <v>1047</v>
      </c>
      <c r="C85" s="7" t="s">
        <v>1048</v>
      </c>
      <c r="D85" s="7" t="s">
        <v>1098</v>
      </c>
      <c r="E85" s="7" t="s">
        <v>91</v>
      </c>
      <c r="F85" s="7"/>
      <c r="G85" s="10" t="n">
        <v>0</v>
      </c>
      <c r="H85" s="11" t="n">
        <v>-0.31</v>
      </c>
      <c r="I85" s="11" t="n">
        <v>1.13</v>
      </c>
      <c r="J85" s="11" t="n">
        <v>1.13</v>
      </c>
      <c r="K85" s="11" t="n">
        <v>3.38</v>
      </c>
      <c r="L85" s="11" t="n">
        <v>0.82</v>
      </c>
      <c r="M85" s="11" t="n">
        <v>7.6</v>
      </c>
      <c r="N85" s="12" t="n">
        <v>122.121746</v>
      </c>
    </row>
    <row r="86" customFormat="false" ht="15" hidden="false" customHeight="false" outlineLevel="0" collapsed="false">
      <c r="A86" s="7" t="s">
        <v>1099</v>
      </c>
      <c r="B86" s="7" t="s">
        <v>1055</v>
      </c>
      <c r="C86" s="7" t="s">
        <v>1048</v>
      </c>
      <c r="D86" s="7" t="s">
        <v>1098</v>
      </c>
      <c r="E86" s="7" t="s">
        <v>91</v>
      </c>
      <c r="F86" s="7"/>
      <c r="G86" s="10" t="n">
        <v>500000</v>
      </c>
      <c r="H86" s="11" t="n">
        <v>-0.31</v>
      </c>
      <c r="I86" s="11" t="n">
        <v>1.14</v>
      </c>
      <c r="J86" s="11" t="n">
        <v>1.14</v>
      </c>
      <c r="K86" s="11" t="n">
        <v>3.42</v>
      </c>
      <c r="L86" s="11" t="n">
        <v>0.88</v>
      </c>
      <c r="M86" s="11" t="n">
        <v>7.73</v>
      </c>
      <c r="N86" s="12" t="n">
        <v>129.09366</v>
      </c>
    </row>
    <row r="87" customFormat="false" ht="15" hidden="false" customHeight="false" outlineLevel="0" collapsed="false">
      <c r="A87" s="7" t="s">
        <v>1099</v>
      </c>
      <c r="B87" s="7" t="s">
        <v>1056</v>
      </c>
      <c r="C87" s="7" t="s">
        <v>1048</v>
      </c>
      <c r="D87" s="7" t="s">
        <v>1098</v>
      </c>
      <c r="E87" s="7" t="s">
        <v>91</v>
      </c>
      <c r="F87" s="7"/>
      <c r="G87" s="10" t="n">
        <v>1000000</v>
      </c>
      <c r="H87" s="11" t="n">
        <v>-0.31</v>
      </c>
      <c r="I87" s="11" t="n">
        <v>1.15</v>
      </c>
      <c r="J87" s="11" t="n">
        <v>1.15</v>
      </c>
      <c r="K87" s="11" t="n">
        <v>3.88</v>
      </c>
      <c r="L87" s="11" t="n">
        <v>1.46</v>
      </c>
      <c r="M87" s="11" t="n">
        <v>8.98</v>
      </c>
      <c r="N87" s="12" t="n">
        <v>139.804084</v>
      </c>
    </row>
    <row r="88" customFormat="false" ht="15" hidden="false" customHeight="false" outlineLevel="0" collapsed="false">
      <c r="A88" s="7" t="s">
        <v>1099</v>
      </c>
      <c r="B88" s="7" t="s">
        <v>1057</v>
      </c>
      <c r="C88" s="7" t="s">
        <v>1048</v>
      </c>
      <c r="D88" s="7" t="s">
        <v>1098</v>
      </c>
      <c r="E88" s="7" t="s">
        <v>91</v>
      </c>
      <c r="F88" s="7"/>
      <c r="G88" s="10" t="n">
        <v>20000000</v>
      </c>
      <c r="H88" s="11" t="n">
        <v>-0.31</v>
      </c>
      <c r="I88" s="11" t="n">
        <v>1.16</v>
      </c>
      <c r="J88" s="11" t="n">
        <v>1.16</v>
      </c>
      <c r="K88" s="11" t="n">
        <v>4.34</v>
      </c>
      <c r="L88" s="11" t="n">
        <v>2.05</v>
      </c>
      <c r="M88" s="11" t="n">
        <v>10.28</v>
      </c>
      <c r="N88" s="12" t="n">
        <v>160.360589</v>
      </c>
    </row>
    <row r="89" customFormat="false" ht="15" hidden="false" customHeight="false" outlineLevel="0" collapsed="false">
      <c r="A89" s="7" t="s">
        <v>1099</v>
      </c>
      <c r="B89" s="7" t="s">
        <v>1058</v>
      </c>
      <c r="C89" s="7" t="s">
        <v>1048</v>
      </c>
      <c r="D89" s="7" t="s">
        <v>1098</v>
      </c>
      <c r="E89" s="7" t="s">
        <v>91</v>
      </c>
      <c r="F89" s="7"/>
      <c r="G89" s="10" t="n">
        <v>150000000</v>
      </c>
      <c r="H89" s="11" t="n">
        <v>-0.31</v>
      </c>
      <c r="I89" s="11" t="n">
        <v>1.17</v>
      </c>
      <c r="J89" s="11" t="n">
        <v>1.17</v>
      </c>
      <c r="K89" s="11" t="n">
        <v>4.81</v>
      </c>
      <c r="L89" s="11" t="n">
        <v>2.65</v>
      </c>
      <c r="M89" s="11" t="n">
        <v>11.57</v>
      </c>
      <c r="N89" s="12" t="n">
        <v>159.388182</v>
      </c>
    </row>
    <row r="90" customFormat="false" ht="15" hidden="false" customHeight="false" outlineLevel="0" collapsed="false">
      <c r="A90" s="7" t="s">
        <v>1099</v>
      </c>
      <c r="B90" s="7" t="s">
        <v>1071</v>
      </c>
      <c r="C90" s="7" t="s">
        <v>1048</v>
      </c>
      <c r="D90" s="7" t="s">
        <v>1098</v>
      </c>
      <c r="E90" s="7" t="s">
        <v>91</v>
      </c>
      <c r="F90" s="7"/>
      <c r="G90" s="10" t="n">
        <v>300000000</v>
      </c>
      <c r="H90" s="11" t="n">
        <v>-0.31</v>
      </c>
      <c r="I90" s="11" t="n">
        <v>1.17</v>
      </c>
      <c r="J90" s="11" t="n">
        <v>1.17</v>
      </c>
      <c r="K90" s="11" t="n">
        <v>5.04</v>
      </c>
      <c r="L90" s="11" t="n">
        <v>2.94</v>
      </c>
      <c r="M90" s="11" t="n">
        <v>12.21</v>
      </c>
      <c r="N90" s="12" t="n">
        <v>38.819418</v>
      </c>
    </row>
    <row r="91" customFormat="false" ht="15" hidden="false" customHeight="false" outlineLevel="0" collapsed="false">
      <c r="A91" s="7" t="s">
        <v>1100</v>
      </c>
      <c r="B91" s="7" t="s">
        <v>1057</v>
      </c>
      <c r="C91" s="7" t="s">
        <v>1048</v>
      </c>
      <c r="D91" s="7" t="s">
        <v>1098</v>
      </c>
      <c r="E91" s="7" t="s">
        <v>91</v>
      </c>
      <c r="F91" s="7"/>
      <c r="G91" s="10" t="n">
        <v>100000</v>
      </c>
      <c r="H91" s="11" t="n">
        <v>-0.51</v>
      </c>
      <c r="I91" s="11" t="n">
        <v>-1.95</v>
      </c>
      <c r="J91" s="11" t="n">
        <v>-1.95</v>
      </c>
      <c r="K91" s="11" t="n">
        <v>-3.81</v>
      </c>
      <c r="L91" s="11" t="n">
        <v>-5</v>
      </c>
      <c r="M91" s="11" t="n">
        <v>-3.38</v>
      </c>
      <c r="N91" s="12" t="n">
        <v>14.621796</v>
      </c>
    </row>
    <row r="92" customFormat="false" ht="15" hidden="false" customHeight="false" outlineLevel="0" collapsed="false">
      <c r="A92" s="7" t="s">
        <v>1101</v>
      </c>
      <c r="B92" s="7" t="s">
        <v>1055</v>
      </c>
      <c r="C92" s="7" t="s">
        <v>1048</v>
      </c>
      <c r="D92" s="7" t="s">
        <v>1098</v>
      </c>
      <c r="E92" s="7" t="s">
        <v>91</v>
      </c>
      <c r="F92" s="7"/>
      <c r="G92" s="10" t="n">
        <v>500000</v>
      </c>
      <c r="H92" s="11" t="n">
        <v>-0.01</v>
      </c>
      <c r="I92" s="11" t="n">
        <v>0.04</v>
      </c>
      <c r="J92" s="11" t="n">
        <v>0.04</v>
      </c>
      <c r="K92" s="11" t="n">
        <v>1.07</v>
      </c>
      <c r="L92" s="11" t="n">
        <v>2.86</v>
      </c>
      <c r="M92" s="11" t="n">
        <v>10.28</v>
      </c>
      <c r="N92" s="12" t="n">
        <v>100.567927</v>
      </c>
    </row>
    <row r="93" customFormat="false" ht="15" hidden="false" customHeight="false" outlineLevel="0" collapsed="false">
      <c r="A93" s="7" t="s">
        <v>1101</v>
      </c>
      <c r="B93" s="7" t="s">
        <v>1090</v>
      </c>
      <c r="C93" s="7" t="s">
        <v>1048</v>
      </c>
      <c r="D93" s="7" t="s">
        <v>1098</v>
      </c>
      <c r="E93" s="7" t="s">
        <v>91</v>
      </c>
      <c r="F93" s="7"/>
      <c r="G93" s="10" t="n">
        <v>0</v>
      </c>
      <c r="H93" s="11" t="n">
        <v>-0.01</v>
      </c>
      <c r="I93" s="11" t="n">
        <v>0.04</v>
      </c>
      <c r="J93" s="11" t="n">
        <v>0.04</v>
      </c>
      <c r="K93" s="11" t="n">
        <v>1.06</v>
      </c>
      <c r="L93" s="11" t="n">
        <v>2.83</v>
      </c>
      <c r="M93" s="11" t="n">
        <v>10.23</v>
      </c>
      <c r="N93" s="12" t="n">
        <v>101.251022</v>
      </c>
    </row>
    <row r="94" customFormat="false" ht="15" hidden="false" customHeight="false" outlineLevel="0" collapsed="false">
      <c r="A94" s="7" t="s">
        <v>1101</v>
      </c>
      <c r="B94" s="7" t="s">
        <v>1056</v>
      </c>
      <c r="C94" s="7" t="s">
        <v>1048</v>
      </c>
      <c r="D94" s="7" t="s">
        <v>1098</v>
      </c>
      <c r="E94" s="7" t="s">
        <v>91</v>
      </c>
      <c r="F94" s="7"/>
      <c r="G94" s="10" t="n">
        <v>1000000</v>
      </c>
      <c r="H94" s="11" t="n">
        <v>-0.01</v>
      </c>
      <c r="I94" s="11" t="n">
        <v>0.04</v>
      </c>
      <c r="J94" s="11" t="n">
        <v>0.04</v>
      </c>
      <c r="K94" s="11" t="n">
        <v>1.12</v>
      </c>
      <c r="L94" s="11" t="n">
        <v>2.92</v>
      </c>
      <c r="M94" s="11" t="n">
        <v>10.4</v>
      </c>
      <c r="N94" s="12" t="n">
        <v>105.731085</v>
      </c>
    </row>
    <row r="95" customFormat="false" ht="15" hidden="false" customHeight="false" outlineLevel="0" collapsed="false">
      <c r="A95" s="7" t="s">
        <v>1101</v>
      </c>
      <c r="B95" s="7" t="s">
        <v>1057</v>
      </c>
      <c r="C95" s="7" t="s">
        <v>1048</v>
      </c>
      <c r="D95" s="7" t="s">
        <v>1098</v>
      </c>
      <c r="E95" s="7" t="s">
        <v>91</v>
      </c>
      <c r="F95" s="7"/>
      <c r="G95" s="10" t="n">
        <v>20000000</v>
      </c>
      <c r="H95" s="11" t="n">
        <v>-0.01</v>
      </c>
      <c r="I95" s="11" t="n">
        <v>0.05</v>
      </c>
      <c r="J95" s="11" t="n">
        <v>0.05</v>
      </c>
      <c r="K95" s="11" t="n">
        <v>1.57</v>
      </c>
      <c r="L95" s="11" t="n">
        <v>3.52</v>
      </c>
      <c r="M95" s="11" t="n">
        <v>11.69</v>
      </c>
      <c r="N95" s="12" t="n">
        <v>112.904577</v>
      </c>
    </row>
    <row r="96" customFormat="false" ht="15" hidden="false" customHeight="false" outlineLevel="0" collapsed="false">
      <c r="A96" s="7" t="s">
        <v>1101</v>
      </c>
      <c r="B96" s="7" t="s">
        <v>1058</v>
      </c>
      <c r="C96" s="7" t="s">
        <v>1048</v>
      </c>
      <c r="D96" s="7" t="s">
        <v>1098</v>
      </c>
      <c r="E96" s="7" t="s">
        <v>91</v>
      </c>
      <c r="F96" s="7"/>
      <c r="G96" s="10" t="n">
        <v>150000000</v>
      </c>
      <c r="H96" s="11" t="n">
        <v>-0.01</v>
      </c>
      <c r="I96" s="11" t="n">
        <v>0.06</v>
      </c>
      <c r="J96" s="11" t="n">
        <v>0.06</v>
      </c>
      <c r="K96" s="11" t="n">
        <v>1.88</v>
      </c>
      <c r="L96" s="11" t="n">
        <v>3.94</v>
      </c>
      <c r="M96" s="11" t="n">
        <v>12.6</v>
      </c>
      <c r="N96" s="12" t="n">
        <v>113.690155</v>
      </c>
    </row>
    <row r="97" customFormat="false" ht="15" hidden="false" customHeight="false" outlineLevel="0" collapsed="false">
      <c r="A97" s="7" t="s">
        <v>1101</v>
      </c>
      <c r="B97" s="7" t="s">
        <v>1071</v>
      </c>
      <c r="C97" s="7" t="s">
        <v>1048</v>
      </c>
      <c r="D97" s="7" t="s">
        <v>1098</v>
      </c>
      <c r="E97" s="7" t="s">
        <v>91</v>
      </c>
      <c r="F97" s="7"/>
      <c r="G97" s="10" t="n">
        <v>300000000</v>
      </c>
      <c r="H97" s="11" t="n">
        <v>-0.01</v>
      </c>
      <c r="I97" s="11" t="n">
        <v>0.07</v>
      </c>
      <c r="J97" s="11" t="n">
        <v>0.07</v>
      </c>
      <c r="K97" s="11" t="n">
        <v>2.15</v>
      </c>
      <c r="L97" s="11" t="n">
        <v>4.3</v>
      </c>
      <c r="M97" s="11" t="n">
        <v>13.38</v>
      </c>
      <c r="N97" s="12" t="n">
        <v>43.231582</v>
      </c>
    </row>
    <row r="98" customFormat="false" ht="15" hidden="false" customHeight="false" outlineLevel="0" collapsed="false">
      <c r="A98" s="7" t="s">
        <v>1102</v>
      </c>
      <c r="B98" s="7" t="s">
        <v>1055</v>
      </c>
      <c r="C98" s="7" t="s">
        <v>1048</v>
      </c>
      <c r="D98" s="7" t="s">
        <v>1098</v>
      </c>
      <c r="E98" s="7" t="s">
        <v>91</v>
      </c>
      <c r="F98" s="7"/>
      <c r="G98" s="10" t="n">
        <v>0</v>
      </c>
      <c r="H98" s="11" t="n">
        <v>-0.65</v>
      </c>
      <c r="I98" s="11" t="n">
        <v>1.83</v>
      </c>
      <c r="J98" s="11" t="n">
        <v>1.83</v>
      </c>
      <c r="K98" s="11" t="n">
        <v>17.48</v>
      </c>
      <c r="L98" s="11" t="n">
        <v>4.5</v>
      </c>
      <c r="M98" s="11" t="n">
        <v>44.71</v>
      </c>
      <c r="N98" s="12" t="n">
        <v>12.631938</v>
      </c>
    </row>
    <row r="99" customFormat="false" ht="15" hidden="false" customHeight="false" outlineLevel="0" collapsed="false">
      <c r="A99" s="7" t="s">
        <v>1102</v>
      </c>
      <c r="B99" s="7" t="s">
        <v>1056</v>
      </c>
      <c r="C99" s="7" t="s">
        <v>1048</v>
      </c>
      <c r="D99" s="7" t="s">
        <v>1098</v>
      </c>
      <c r="E99" s="7" t="s">
        <v>91</v>
      </c>
      <c r="F99" s="7"/>
      <c r="G99" s="10" t="n">
        <v>1000000</v>
      </c>
      <c r="H99" s="11" t="n">
        <v>-0.64</v>
      </c>
      <c r="I99" s="11" t="n">
        <v>1.84</v>
      </c>
      <c r="J99" s="11" t="n">
        <v>1.84</v>
      </c>
      <c r="K99" s="11" t="n">
        <v>18.01</v>
      </c>
      <c r="L99" s="11" t="n">
        <v>5.1</v>
      </c>
      <c r="M99" s="11" t="n">
        <v>46.4</v>
      </c>
      <c r="N99" s="12" t="n">
        <v>11.376601</v>
      </c>
    </row>
    <row r="100" customFormat="false" ht="15" hidden="false" customHeight="false" outlineLevel="0" collapsed="false">
      <c r="A100" s="7" t="s">
        <v>1102</v>
      </c>
      <c r="B100" s="7" t="s">
        <v>1057</v>
      </c>
      <c r="C100" s="7" t="s">
        <v>1048</v>
      </c>
      <c r="D100" s="7" t="s">
        <v>1098</v>
      </c>
      <c r="E100" s="7" t="s">
        <v>91</v>
      </c>
      <c r="F100" s="7"/>
      <c r="G100" s="10" t="n">
        <v>20000000</v>
      </c>
      <c r="H100" s="11" t="n">
        <v>-0.64</v>
      </c>
      <c r="I100" s="11" t="n">
        <v>1.86</v>
      </c>
      <c r="J100" s="11" t="n">
        <v>1.86</v>
      </c>
      <c r="K100" s="11" t="n">
        <v>18.53</v>
      </c>
      <c r="L100" s="11" t="n">
        <v>5.72</v>
      </c>
      <c r="M100" s="11" t="n">
        <v>48.14</v>
      </c>
      <c r="N100" s="12" t="n">
        <v>12.537047</v>
      </c>
    </row>
    <row r="101" customFormat="false" ht="15" hidden="false" customHeight="false" outlineLevel="0" collapsed="false">
      <c r="A101" s="7" t="s">
        <v>1102</v>
      </c>
      <c r="B101" s="7" t="s">
        <v>1058</v>
      </c>
      <c r="C101" s="7" t="s">
        <v>1048</v>
      </c>
      <c r="D101" s="7" t="s">
        <v>1098</v>
      </c>
      <c r="E101" s="7" t="s">
        <v>91</v>
      </c>
      <c r="F101" s="7"/>
      <c r="G101" s="10" t="n">
        <v>150000000</v>
      </c>
      <c r="H101" s="11" t="n">
        <v>-0.64</v>
      </c>
      <c r="I101" s="11" t="n">
        <v>1.87</v>
      </c>
      <c r="J101" s="11" t="n">
        <v>1.87</v>
      </c>
      <c r="K101" s="11" t="n">
        <v>19.06</v>
      </c>
      <c r="L101" s="11" t="n">
        <v>6.33</v>
      </c>
      <c r="M101" s="11" t="n">
        <v>49.87</v>
      </c>
      <c r="N101" s="12" t="n">
        <v>15.860975</v>
      </c>
    </row>
    <row r="102" customFormat="false" ht="15" hidden="false" customHeight="false" outlineLevel="0" collapsed="false">
      <c r="A102" s="7" t="s">
        <v>1102</v>
      </c>
      <c r="B102" s="7" t="s">
        <v>1071</v>
      </c>
      <c r="C102" s="7" t="s">
        <v>1048</v>
      </c>
      <c r="D102" s="7" t="s">
        <v>1098</v>
      </c>
      <c r="E102" s="7" t="s">
        <v>91</v>
      </c>
      <c r="F102" s="7"/>
      <c r="G102" s="10" t="n">
        <v>300000000</v>
      </c>
      <c r="H102" s="11" t="n">
        <v>-0.64</v>
      </c>
      <c r="I102" s="11" t="n">
        <v>1.87</v>
      </c>
      <c r="J102" s="11" t="n">
        <v>1.87</v>
      </c>
      <c r="K102" s="11" t="n">
        <v>0</v>
      </c>
      <c r="L102" s="11" t="n">
        <v>0</v>
      </c>
      <c r="M102" s="11" t="n">
        <v>0</v>
      </c>
      <c r="N102" s="12" t="n">
        <v>12.3224</v>
      </c>
    </row>
    <row r="103" customFormat="false" ht="15" hidden="false" customHeight="false" outlineLevel="0" collapsed="false">
      <c r="A103" s="7" t="s">
        <v>1103</v>
      </c>
      <c r="B103" s="7" t="s">
        <v>1047</v>
      </c>
      <c r="C103" s="7" t="s">
        <v>1048</v>
      </c>
      <c r="D103" s="7" t="s">
        <v>1098</v>
      </c>
      <c r="E103" s="7" t="s">
        <v>91</v>
      </c>
      <c r="F103" s="7"/>
      <c r="G103" s="10" t="n">
        <v>0</v>
      </c>
      <c r="H103" s="11" t="n">
        <v>-1.2</v>
      </c>
      <c r="I103" s="11" t="n">
        <v>-2.4</v>
      </c>
      <c r="J103" s="11" t="n">
        <v>-2.4</v>
      </c>
      <c r="K103" s="11" t="n">
        <v>1.96</v>
      </c>
      <c r="L103" s="11" t="n">
        <v>3.13</v>
      </c>
      <c r="M103" s="11" t="n">
        <v>10.17</v>
      </c>
      <c r="N103" s="12" t="n">
        <v>1.235103</v>
      </c>
    </row>
    <row r="104" customFormat="false" ht="15" hidden="false" customHeight="false" outlineLevel="0" collapsed="false">
      <c r="A104" s="7" t="s">
        <v>1103</v>
      </c>
      <c r="B104" s="7" t="s">
        <v>1055</v>
      </c>
      <c r="C104" s="7" t="s">
        <v>1048</v>
      </c>
      <c r="D104" s="7" t="s">
        <v>1098</v>
      </c>
      <c r="E104" s="7" t="s">
        <v>91</v>
      </c>
      <c r="F104" s="7"/>
      <c r="G104" s="10" t="n">
        <v>500000</v>
      </c>
      <c r="H104" s="11" t="n">
        <v>-1.2</v>
      </c>
      <c r="I104" s="11" t="n">
        <v>-2.39</v>
      </c>
      <c r="J104" s="11" t="n">
        <v>-2.39</v>
      </c>
      <c r="K104" s="11" t="n">
        <v>2.02</v>
      </c>
      <c r="L104" s="11" t="n">
        <v>3.2</v>
      </c>
      <c r="M104" s="11" t="n">
        <v>10.34</v>
      </c>
      <c r="N104" s="12" t="n">
        <v>2.119927</v>
      </c>
    </row>
    <row r="105" customFormat="false" ht="15" hidden="false" customHeight="false" outlineLevel="0" collapsed="false">
      <c r="A105" s="7" t="s">
        <v>1103</v>
      </c>
      <c r="B105" s="7" t="s">
        <v>1056</v>
      </c>
      <c r="C105" s="7" t="s">
        <v>1048</v>
      </c>
      <c r="D105" s="7" t="s">
        <v>1098</v>
      </c>
      <c r="E105" s="7" t="s">
        <v>91</v>
      </c>
      <c r="F105" s="7"/>
      <c r="G105" s="10" t="n">
        <v>1000000</v>
      </c>
      <c r="H105" s="11" t="n">
        <v>-1.2</v>
      </c>
      <c r="I105" s="11" t="n">
        <v>-2.38</v>
      </c>
      <c r="J105" s="11" t="n">
        <v>-2.38</v>
      </c>
      <c r="K105" s="11" t="n">
        <v>2.48</v>
      </c>
      <c r="L105" s="11" t="n">
        <v>3.8</v>
      </c>
      <c r="M105" s="11" t="n">
        <v>11.63</v>
      </c>
      <c r="N105" s="12" t="n">
        <v>2.225825</v>
      </c>
    </row>
    <row r="106" customFormat="false" ht="15" hidden="false" customHeight="false" outlineLevel="0" collapsed="false">
      <c r="A106" s="7" t="s">
        <v>1103</v>
      </c>
      <c r="B106" s="7" t="s">
        <v>1057</v>
      </c>
      <c r="C106" s="7" t="s">
        <v>1048</v>
      </c>
      <c r="D106" s="7" t="s">
        <v>1098</v>
      </c>
      <c r="E106" s="7" t="s">
        <v>91</v>
      </c>
      <c r="F106" s="7"/>
      <c r="G106" s="10" t="n">
        <v>20000000</v>
      </c>
      <c r="H106" s="11" t="n">
        <v>-1.2</v>
      </c>
      <c r="I106" s="11" t="n">
        <v>-2.37</v>
      </c>
      <c r="J106" s="11" t="n">
        <v>-2.37</v>
      </c>
      <c r="K106" s="11" t="n">
        <v>2.93</v>
      </c>
      <c r="L106" s="11" t="n">
        <v>4.41</v>
      </c>
      <c r="M106" s="11" t="n">
        <v>12.97</v>
      </c>
      <c r="N106" s="12" t="n">
        <v>2.573799</v>
      </c>
    </row>
    <row r="107" customFormat="false" ht="15" hidden="false" customHeight="false" outlineLevel="0" collapsed="false">
      <c r="A107" s="7" t="s">
        <v>1103</v>
      </c>
      <c r="B107" s="7" t="s">
        <v>1058</v>
      </c>
      <c r="C107" s="7" t="s">
        <v>1048</v>
      </c>
      <c r="D107" s="7" t="s">
        <v>1098</v>
      </c>
      <c r="E107" s="7" t="s">
        <v>91</v>
      </c>
      <c r="F107" s="7"/>
      <c r="G107" s="10" t="n">
        <v>150000000</v>
      </c>
      <c r="H107" s="11" t="n">
        <v>-1.19</v>
      </c>
      <c r="I107" s="11" t="n">
        <v>-2.36</v>
      </c>
      <c r="J107" s="11" t="n">
        <v>-2.36</v>
      </c>
      <c r="K107" s="11" t="n">
        <v>3.39</v>
      </c>
      <c r="L107" s="11" t="n">
        <v>5.02</v>
      </c>
      <c r="M107" s="11" t="n">
        <v>14.29</v>
      </c>
      <c r="N107" s="12" t="n">
        <v>2.864995</v>
      </c>
    </row>
    <row r="108" customFormat="false" ht="15" hidden="false" customHeight="false" outlineLevel="0" collapsed="false">
      <c r="A108" s="7" t="s">
        <v>1104</v>
      </c>
      <c r="B108" s="7" t="s">
        <v>1047</v>
      </c>
      <c r="C108" s="7" t="s">
        <v>1048</v>
      </c>
      <c r="D108" s="7" t="s">
        <v>1098</v>
      </c>
      <c r="E108" s="7" t="s">
        <v>91</v>
      </c>
      <c r="F108" s="7"/>
      <c r="G108" s="10" t="n">
        <v>0</v>
      </c>
      <c r="H108" s="11" t="n">
        <v>-1.24</v>
      </c>
      <c r="I108" s="11" t="n">
        <v>0.59</v>
      </c>
      <c r="J108" s="11" t="n">
        <v>0.59</v>
      </c>
      <c r="K108" s="11" t="n">
        <v>19.32</v>
      </c>
      <c r="L108" s="11" t="n">
        <v>19.02</v>
      </c>
      <c r="M108" s="11" t="n">
        <v>23.59</v>
      </c>
      <c r="N108" s="12" t="n">
        <v>13.546895</v>
      </c>
    </row>
    <row r="109" customFormat="false" ht="15" hidden="false" customHeight="false" outlineLevel="0" collapsed="false">
      <c r="A109" s="7" t="s">
        <v>1104</v>
      </c>
      <c r="B109" s="7" t="s">
        <v>1055</v>
      </c>
      <c r="C109" s="7" t="s">
        <v>1048</v>
      </c>
      <c r="D109" s="7" t="s">
        <v>1098</v>
      </c>
      <c r="E109" s="7" t="s">
        <v>91</v>
      </c>
      <c r="F109" s="7"/>
      <c r="G109" s="10" t="n">
        <v>500000</v>
      </c>
      <c r="H109" s="11" t="n">
        <v>-1.23</v>
      </c>
      <c r="I109" s="11" t="n">
        <v>0.59</v>
      </c>
      <c r="J109" s="11" t="n">
        <v>0.59</v>
      </c>
      <c r="K109" s="11" t="n">
        <v>19.37</v>
      </c>
      <c r="L109" s="11" t="n">
        <v>19.08</v>
      </c>
      <c r="M109" s="11" t="n">
        <v>23.73</v>
      </c>
      <c r="N109" s="12" t="n">
        <v>11.717565</v>
      </c>
    </row>
    <row r="110" customFormat="false" ht="15" hidden="false" customHeight="false" outlineLevel="0" collapsed="false">
      <c r="A110" s="7" t="s">
        <v>1104</v>
      </c>
      <c r="B110" s="7" t="s">
        <v>1056</v>
      </c>
      <c r="C110" s="7" t="s">
        <v>1048</v>
      </c>
      <c r="D110" s="7" t="s">
        <v>1098</v>
      </c>
      <c r="E110" s="7" t="s">
        <v>91</v>
      </c>
      <c r="F110" s="7"/>
      <c r="G110" s="10" t="n">
        <v>1000000</v>
      </c>
      <c r="H110" s="11" t="n">
        <v>-1.23</v>
      </c>
      <c r="I110" s="11" t="n">
        <v>0.6</v>
      </c>
      <c r="J110" s="11" t="n">
        <v>0.6</v>
      </c>
      <c r="K110" s="11" t="n">
        <v>19.9</v>
      </c>
      <c r="L110" s="11" t="n">
        <v>19.78</v>
      </c>
      <c r="M110" s="11" t="n">
        <v>25.17</v>
      </c>
      <c r="N110" s="12" t="n">
        <v>12.763144</v>
      </c>
    </row>
    <row r="111" customFormat="false" ht="15" hidden="false" customHeight="false" outlineLevel="0" collapsed="false">
      <c r="A111" s="7" t="s">
        <v>1104</v>
      </c>
      <c r="B111" s="7" t="s">
        <v>1057</v>
      </c>
      <c r="C111" s="7" t="s">
        <v>1048</v>
      </c>
      <c r="D111" s="7" t="s">
        <v>1098</v>
      </c>
      <c r="E111" s="7" t="s">
        <v>91</v>
      </c>
      <c r="F111" s="7"/>
      <c r="G111" s="10" t="n">
        <v>20000000</v>
      </c>
      <c r="H111" s="11" t="n">
        <v>-1.23</v>
      </c>
      <c r="I111" s="11" t="n">
        <v>0.62</v>
      </c>
      <c r="J111" s="11" t="n">
        <v>0.62</v>
      </c>
      <c r="K111" s="11" t="n">
        <v>20.44</v>
      </c>
      <c r="L111" s="11" t="n">
        <v>20.48</v>
      </c>
      <c r="M111" s="11" t="n">
        <v>26.67</v>
      </c>
      <c r="N111" s="12" t="n">
        <v>14.834486</v>
      </c>
    </row>
    <row r="112" customFormat="false" ht="15" hidden="false" customHeight="false" outlineLevel="0" collapsed="false">
      <c r="A112" s="7" t="s">
        <v>1104</v>
      </c>
      <c r="B112" s="7" t="s">
        <v>1058</v>
      </c>
      <c r="C112" s="7" t="s">
        <v>1048</v>
      </c>
      <c r="D112" s="7" t="s">
        <v>1098</v>
      </c>
      <c r="E112" s="7" t="s">
        <v>91</v>
      </c>
      <c r="F112" s="7"/>
      <c r="G112" s="10" t="n">
        <v>150000000</v>
      </c>
      <c r="H112" s="11" t="n">
        <v>-1.23</v>
      </c>
      <c r="I112" s="11" t="n">
        <v>0.63</v>
      </c>
      <c r="J112" s="11" t="n">
        <v>0.63</v>
      </c>
      <c r="K112" s="11" t="n">
        <v>0</v>
      </c>
      <c r="L112" s="11" t="n">
        <v>0</v>
      </c>
      <c r="M112" s="11" t="n">
        <v>1.21</v>
      </c>
      <c r="N112" s="12" t="n">
        <v>13.515839</v>
      </c>
    </row>
    <row r="113" customFormat="false" ht="15" hidden="false" customHeight="false" outlineLevel="0" collapsed="false">
      <c r="A113" s="7" t="s">
        <v>1105</v>
      </c>
      <c r="B113" s="7" t="s">
        <v>1055</v>
      </c>
      <c r="C113" s="7" t="s">
        <v>1048</v>
      </c>
      <c r="D113" s="7" t="s">
        <v>1098</v>
      </c>
      <c r="E113" s="7" t="s">
        <v>91</v>
      </c>
      <c r="F113" s="7"/>
      <c r="G113" s="10" t="n">
        <v>0</v>
      </c>
      <c r="H113" s="11" t="n">
        <v>-0.44</v>
      </c>
      <c r="I113" s="11" t="n">
        <v>1.04</v>
      </c>
      <c r="J113" s="11" t="n">
        <v>1.04</v>
      </c>
      <c r="K113" s="11" t="n">
        <v>6.5</v>
      </c>
      <c r="L113" s="11" t="n">
        <v>7.98</v>
      </c>
      <c r="M113" s="11" t="n">
        <v>20.68</v>
      </c>
      <c r="N113" s="12" t="n">
        <v>12.457104</v>
      </c>
    </row>
    <row r="114" customFormat="false" ht="15" hidden="false" customHeight="false" outlineLevel="0" collapsed="false">
      <c r="A114" s="7" t="s">
        <v>1105</v>
      </c>
      <c r="B114" s="7" t="s">
        <v>1056</v>
      </c>
      <c r="C114" s="7" t="s">
        <v>1048</v>
      </c>
      <c r="D114" s="7" t="s">
        <v>1098</v>
      </c>
      <c r="E114" s="7" t="s">
        <v>91</v>
      </c>
      <c r="F114" s="7"/>
      <c r="G114" s="10" t="n">
        <v>1000000</v>
      </c>
      <c r="H114" s="11" t="n">
        <v>-0.44</v>
      </c>
      <c r="I114" s="11" t="n">
        <v>1.05</v>
      </c>
      <c r="J114" s="11" t="n">
        <v>1.05</v>
      </c>
      <c r="K114" s="11" t="n">
        <v>6.97</v>
      </c>
      <c r="L114" s="11" t="n">
        <v>8.61</v>
      </c>
      <c r="M114" s="11" t="n">
        <v>22.09</v>
      </c>
      <c r="N114" s="12" t="n">
        <v>12.75313</v>
      </c>
    </row>
    <row r="115" customFormat="false" ht="15" hidden="false" customHeight="false" outlineLevel="0" collapsed="false">
      <c r="A115" s="7" t="s">
        <v>1105</v>
      </c>
      <c r="B115" s="7" t="s">
        <v>1057</v>
      </c>
      <c r="C115" s="7" t="s">
        <v>1048</v>
      </c>
      <c r="D115" s="7" t="s">
        <v>1098</v>
      </c>
      <c r="E115" s="7" t="s">
        <v>91</v>
      </c>
      <c r="F115" s="7"/>
      <c r="G115" s="10" t="n">
        <v>20000000</v>
      </c>
      <c r="H115" s="11" t="n">
        <v>-0.44</v>
      </c>
      <c r="I115" s="11" t="n">
        <v>1.06</v>
      </c>
      <c r="J115" s="11" t="n">
        <v>1.06</v>
      </c>
      <c r="K115" s="11" t="n">
        <v>7.45</v>
      </c>
      <c r="L115" s="11" t="n">
        <v>9.24</v>
      </c>
      <c r="M115" s="11" t="n">
        <v>23.55</v>
      </c>
      <c r="N115" s="12" t="n">
        <v>13.157527</v>
      </c>
    </row>
    <row r="116" customFormat="false" ht="15" hidden="false" customHeight="false" outlineLevel="0" collapsed="false">
      <c r="A116" s="7" t="s">
        <v>1105</v>
      </c>
      <c r="B116" s="7" t="s">
        <v>1058</v>
      </c>
      <c r="C116" s="7" t="s">
        <v>1048</v>
      </c>
      <c r="D116" s="7" t="s">
        <v>1098</v>
      </c>
      <c r="E116" s="7" t="s">
        <v>91</v>
      </c>
      <c r="F116" s="7"/>
      <c r="G116" s="10" t="n">
        <v>150000000</v>
      </c>
      <c r="H116" s="11" t="n">
        <v>-0.43</v>
      </c>
      <c r="I116" s="11" t="n">
        <v>1.07</v>
      </c>
      <c r="J116" s="11" t="n">
        <v>1.07</v>
      </c>
      <c r="K116" s="11" t="n">
        <v>0</v>
      </c>
      <c r="L116" s="11" t="n">
        <v>0</v>
      </c>
      <c r="M116" s="11" t="n">
        <v>14.12</v>
      </c>
      <c r="N116" s="12" t="n">
        <v>11.644943</v>
      </c>
    </row>
    <row r="117" customFormat="false" ht="15" hidden="false" customHeight="false" outlineLevel="0" collapsed="false">
      <c r="A117" s="7" t="s">
        <v>1105</v>
      </c>
      <c r="B117" s="7" t="s">
        <v>1071</v>
      </c>
      <c r="C117" s="7" t="s">
        <v>1048</v>
      </c>
      <c r="D117" s="7" t="s">
        <v>1098</v>
      </c>
      <c r="E117" s="7" t="s">
        <v>91</v>
      </c>
      <c r="F117" s="7"/>
      <c r="G117" s="10" t="n">
        <v>300000000</v>
      </c>
      <c r="H117" s="11" t="n">
        <v>0</v>
      </c>
      <c r="I117" s="11" t="n">
        <v>0</v>
      </c>
      <c r="J117" s="11" t="n">
        <v>0</v>
      </c>
      <c r="K117" s="11" t="n">
        <v>0</v>
      </c>
      <c r="L117" s="11" t="n">
        <v>0</v>
      </c>
      <c r="M117" s="11" t="n">
        <v>0</v>
      </c>
      <c r="N117" s="12" t="n">
        <v>8.634078</v>
      </c>
    </row>
    <row r="118" customFormat="false" ht="15" hidden="false" customHeight="false" outlineLevel="0" collapsed="false">
      <c r="A118" s="7" t="s">
        <v>1106</v>
      </c>
      <c r="B118" s="7" t="s">
        <v>1055</v>
      </c>
      <c r="C118" s="7" t="s">
        <v>1048</v>
      </c>
      <c r="D118" s="7" t="s">
        <v>1098</v>
      </c>
      <c r="E118" s="7" t="s">
        <v>91</v>
      </c>
      <c r="F118" s="7"/>
      <c r="G118" s="10" t="n">
        <v>0</v>
      </c>
      <c r="H118" s="11" t="n">
        <v>-0.92</v>
      </c>
      <c r="I118" s="11" t="n">
        <v>0.75</v>
      </c>
      <c r="J118" s="11" t="n">
        <v>0.75</v>
      </c>
      <c r="K118" s="11" t="n">
        <v>0.99</v>
      </c>
      <c r="L118" s="11" t="n">
        <v>7.21</v>
      </c>
      <c r="M118" s="11" t="n">
        <v>24.94</v>
      </c>
      <c r="N118" s="12" t="n">
        <v>102.894836</v>
      </c>
    </row>
    <row r="119" customFormat="false" ht="15" hidden="false" customHeight="false" outlineLevel="0" collapsed="false">
      <c r="A119" s="7" t="s">
        <v>1106</v>
      </c>
      <c r="B119" s="7" t="s">
        <v>1056</v>
      </c>
      <c r="C119" s="7" t="s">
        <v>1048</v>
      </c>
      <c r="D119" s="7" t="s">
        <v>1098</v>
      </c>
      <c r="E119" s="7" t="s">
        <v>91</v>
      </c>
      <c r="F119" s="7"/>
      <c r="G119" s="10" t="n">
        <v>1000000</v>
      </c>
      <c r="H119" s="11" t="n">
        <v>-0.92</v>
      </c>
      <c r="I119" s="11" t="n">
        <v>0.76</v>
      </c>
      <c r="J119" s="11" t="n">
        <v>0.76</v>
      </c>
      <c r="K119" s="11" t="n">
        <v>1.46</v>
      </c>
      <c r="L119" s="11" t="n">
        <v>7.86</v>
      </c>
      <c r="M119" s="11" t="n">
        <v>26.46</v>
      </c>
      <c r="N119" s="12" t="n">
        <v>107.477405</v>
      </c>
    </row>
    <row r="120" customFormat="false" ht="15" hidden="false" customHeight="false" outlineLevel="0" collapsed="false">
      <c r="A120" s="7" t="s">
        <v>1106</v>
      </c>
      <c r="B120" s="7" t="s">
        <v>1057</v>
      </c>
      <c r="C120" s="7" t="s">
        <v>1048</v>
      </c>
      <c r="D120" s="7" t="s">
        <v>1098</v>
      </c>
      <c r="E120" s="7" t="s">
        <v>91</v>
      </c>
      <c r="F120" s="7"/>
      <c r="G120" s="10" t="n">
        <v>20000000</v>
      </c>
      <c r="H120" s="11" t="n">
        <v>-0.92</v>
      </c>
      <c r="I120" s="11" t="n">
        <v>0.77</v>
      </c>
      <c r="J120" s="11" t="n">
        <v>0.77</v>
      </c>
      <c r="K120" s="11" t="n">
        <v>1.97</v>
      </c>
      <c r="L120" s="11" t="n">
        <v>8.57</v>
      </c>
      <c r="M120" s="11" t="n">
        <v>28.13</v>
      </c>
      <c r="N120" s="12" t="n">
        <v>120.848447</v>
      </c>
    </row>
    <row r="121" customFormat="false" ht="15" hidden="false" customHeight="false" outlineLevel="0" collapsed="false">
      <c r="A121" s="7" t="s">
        <v>1106</v>
      </c>
      <c r="B121" s="7" t="s">
        <v>1058</v>
      </c>
      <c r="C121" s="7" t="s">
        <v>1048</v>
      </c>
      <c r="D121" s="7" t="s">
        <v>1098</v>
      </c>
      <c r="E121" s="7" t="s">
        <v>91</v>
      </c>
      <c r="F121" s="7"/>
      <c r="G121" s="10" t="n">
        <v>150000000</v>
      </c>
      <c r="H121" s="11" t="n">
        <v>0</v>
      </c>
      <c r="I121" s="11" t="n">
        <v>0</v>
      </c>
      <c r="J121" s="11" t="n">
        <v>0</v>
      </c>
      <c r="K121" s="11" t="n">
        <v>0</v>
      </c>
      <c r="L121" s="11" t="n">
        <v>0</v>
      </c>
      <c r="M121" s="11" t="n">
        <v>0</v>
      </c>
      <c r="N121" s="12" t="n">
        <v>112.05274</v>
      </c>
    </row>
    <row r="122" customFormat="false" ht="15" hidden="false" customHeight="false" outlineLevel="0" collapsed="false">
      <c r="A122" s="7" t="s">
        <v>1106</v>
      </c>
      <c r="B122" s="7" t="s">
        <v>1071</v>
      </c>
      <c r="C122" s="7" t="s">
        <v>1048</v>
      </c>
      <c r="D122" s="7" t="s">
        <v>1098</v>
      </c>
      <c r="E122" s="7" t="s">
        <v>91</v>
      </c>
      <c r="F122" s="7"/>
      <c r="G122" s="10" t="n">
        <v>300000000</v>
      </c>
      <c r="H122" s="11" t="n">
        <v>0</v>
      </c>
      <c r="I122" s="11" t="n">
        <v>0</v>
      </c>
      <c r="J122" s="11" t="n">
        <v>0</v>
      </c>
      <c r="K122" s="11" t="n">
        <v>0</v>
      </c>
      <c r="L122" s="11" t="n">
        <v>0</v>
      </c>
      <c r="M122" s="11" t="n">
        <v>0</v>
      </c>
      <c r="N122" s="12" t="n">
        <v>104.596219</v>
      </c>
    </row>
    <row r="123" customFormat="false" ht="15" hidden="false" customHeight="false" outlineLevel="0" collapsed="false">
      <c r="A123" s="7" t="s">
        <v>1107</v>
      </c>
      <c r="B123" s="7" t="s">
        <v>1055</v>
      </c>
      <c r="C123" s="7" t="s">
        <v>1048</v>
      </c>
      <c r="D123" s="7" t="s">
        <v>1098</v>
      </c>
      <c r="E123" s="7" t="s">
        <v>91</v>
      </c>
      <c r="F123" s="7"/>
      <c r="G123" s="10" t="n">
        <v>0</v>
      </c>
      <c r="H123" s="11" t="n">
        <v>0.16</v>
      </c>
      <c r="I123" s="11" t="n">
        <v>2</v>
      </c>
      <c r="J123" s="11" t="n">
        <v>2</v>
      </c>
      <c r="K123" s="11" t="n">
        <v>9.05</v>
      </c>
      <c r="L123" s="11" t="n">
        <v>9.41</v>
      </c>
      <c r="M123" s="11" t="n">
        <v>24.61</v>
      </c>
      <c r="N123" s="12" t="n">
        <v>122.248441</v>
      </c>
    </row>
    <row r="124" customFormat="false" ht="15" hidden="false" customHeight="false" outlineLevel="0" collapsed="false">
      <c r="A124" s="7" t="s">
        <v>1107</v>
      </c>
      <c r="B124" s="7" t="s">
        <v>1056</v>
      </c>
      <c r="C124" s="7" t="s">
        <v>1048</v>
      </c>
      <c r="D124" s="7" t="s">
        <v>1098</v>
      </c>
      <c r="E124" s="7" t="s">
        <v>91</v>
      </c>
      <c r="F124" s="7"/>
      <c r="G124" s="10" t="n">
        <v>1000000</v>
      </c>
      <c r="H124" s="11" t="n">
        <v>0.16</v>
      </c>
      <c r="I124" s="11" t="n">
        <v>2.01</v>
      </c>
      <c r="J124" s="11" t="n">
        <v>2.01</v>
      </c>
      <c r="K124" s="11" t="n">
        <v>9.53</v>
      </c>
      <c r="L124" s="11" t="n">
        <v>10.05</v>
      </c>
      <c r="M124" s="11" t="n">
        <v>26.06</v>
      </c>
      <c r="N124" s="12" t="n">
        <v>136.57929</v>
      </c>
    </row>
    <row r="125" customFormat="false" ht="15" hidden="false" customHeight="false" outlineLevel="0" collapsed="false">
      <c r="A125" s="7" t="s">
        <v>1107</v>
      </c>
      <c r="B125" s="7" t="s">
        <v>1057</v>
      </c>
      <c r="C125" s="7" t="s">
        <v>1048</v>
      </c>
      <c r="D125" s="7" t="s">
        <v>1098</v>
      </c>
      <c r="E125" s="7" t="s">
        <v>91</v>
      </c>
      <c r="F125" s="7"/>
      <c r="G125" s="10" t="n">
        <v>20000000</v>
      </c>
      <c r="H125" s="11" t="n">
        <v>0.17</v>
      </c>
      <c r="I125" s="11" t="n">
        <v>2.02</v>
      </c>
      <c r="J125" s="11" t="n">
        <v>2.02</v>
      </c>
      <c r="K125" s="11" t="n">
        <v>10.02</v>
      </c>
      <c r="L125" s="11" t="n">
        <v>10.69</v>
      </c>
      <c r="M125" s="11" t="n">
        <v>27.57</v>
      </c>
      <c r="N125" s="12" t="n">
        <v>159.643413</v>
      </c>
    </row>
    <row r="126" customFormat="false" ht="15" hidden="false" customHeight="false" outlineLevel="0" collapsed="false">
      <c r="A126" s="7" t="s">
        <v>1107</v>
      </c>
      <c r="B126" s="7" t="s">
        <v>1058</v>
      </c>
      <c r="C126" s="7" t="s">
        <v>1048</v>
      </c>
      <c r="D126" s="7" t="s">
        <v>1098</v>
      </c>
      <c r="E126" s="7" t="s">
        <v>91</v>
      </c>
      <c r="F126" s="7"/>
      <c r="G126" s="10" t="n">
        <v>150000000</v>
      </c>
      <c r="H126" s="11" t="n">
        <v>0.17</v>
      </c>
      <c r="I126" s="11" t="n">
        <v>2.03</v>
      </c>
      <c r="J126" s="11" t="n">
        <v>2.03</v>
      </c>
      <c r="K126" s="11" t="n">
        <v>10.51</v>
      </c>
      <c r="L126" s="11" t="n">
        <v>11.33</v>
      </c>
      <c r="M126" s="11" t="n">
        <v>29.05</v>
      </c>
      <c r="N126" s="12" t="n">
        <v>115.180929</v>
      </c>
    </row>
    <row r="127" customFormat="false" ht="15" hidden="false" customHeight="false" outlineLevel="0" collapsed="false">
      <c r="A127" s="7" t="s">
        <v>1108</v>
      </c>
      <c r="B127" s="7" t="s">
        <v>1055</v>
      </c>
      <c r="C127" s="7" t="s">
        <v>1048</v>
      </c>
      <c r="D127" s="7" t="s">
        <v>1098</v>
      </c>
      <c r="E127" s="7" t="s">
        <v>91</v>
      </c>
      <c r="F127" s="7"/>
      <c r="G127" s="10" t="n">
        <v>0</v>
      </c>
      <c r="H127" s="11" t="n">
        <v>-0.06</v>
      </c>
      <c r="I127" s="11" t="n">
        <v>-0.5</v>
      </c>
      <c r="J127" s="11" t="n">
        <v>-0.5</v>
      </c>
      <c r="K127" s="11" t="n">
        <v>-1.35</v>
      </c>
      <c r="L127" s="11" t="n">
        <v>-2.59</v>
      </c>
      <c r="M127" s="11" t="n">
        <v>-5.54</v>
      </c>
      <c r="N127" s="12" t="n">
        <v>11.252882</v>
      </c>
    </row>
    <row r="128" customFormat="false" ht="15" hidden="false" customHeight="false" outlineLevel="0" collapsed="false">
      <c r="A128" s="7" t="s">
        <v>1108</v>
      </c>
      <c r="B128" s="7" t="s">
        <v>1056</v>
      </c>
      <c r="C128" s="7" t="s">
        <v>1048</v>
      </c>
      <c r="D128" s="7" t="s">
        <v>1098</v>
      </c>
      <c r="E128" s="7" t="s">
        <v>91</v>
      </c>
      <c r="F128" s="7"/>
      <c r="G128" s="10" t="n">
        <v>1000000</v>
      </c>
      <c r="H128" s="11" t="n">
        <v>-0.06</v>
      </c>
      <c r="I128" s="11" t="n">
        <v>-0.49</v>
      </c>
      <c r="J128" s="11" t="n">
        <v>-0.49</v>
      </c>
      <c r="K128" s="11" t="n">
        <v>-1.09</v>
      </c>
      <c r="L128" s="11" t="n">
        <v>-2.25</v>
      </c>
      <c r="M128" s="11" t="n">
        <v>-4.89</v>
      </c>
      <c r="N128" s="12" t="n">
        <v>10.048244</v>
      </c>
    </row>
    <row r="129" customFormat="false" ht="15" hidden="false" customHeight="false" outlineLevel="0" collapsed="false">
      <c r="A129" s="7" t="s">
        <v>1108</v>
      </c>
      <c r="B129" s="7" t="s">
        <v>1057</v>
      </c>
      <c r="C129" s="7" t="s">
        <v>1048</v>
      </c>
      <c r="D129" s="7" t="s">
        <v>1098</v>
      </c>
      <c r="E129" s="7" t="s">
        <v>91</v>
      </c>
      <c r="F129" s="7"/>
      <c r="G129" s="10" t="n">
        <v>20000000</v>
      </c>
      <c r="H129" s="11" t="n">
        <v>-0.06</v>
      </c>
      <c r="I129" s="11" t="n">
        <v>-0.48</v>
      </c>
      <c r="J129" s="11" t="n">
        <v>-0.48</v>
      </c>
      <c r="K129" s="11" t="n">
        <v>-0.87</v>
      </c>
      <c r="L129" s="11" t="n">
        <v>-1.97</v>
      </c>
      <c r="M129" s="11" t="n">
        <v>-4.33</v>
      </c>
      <c r="N129" s="12" t="n">
        <v>10.008652</v>
      </c>
    </row>
    <row r="130" customFormat="false" ht="15" hidden="false" customHeight="false" outlineLevel="0" collapsed="false">
      <c r="A130" s="7" t="s">
        <v>1108</v>
      </c>
      <c r="B130" s="7" t="s">
        <v>1058</v>
      </c>
      <c r="C130" s="7" t="s">
        <v>1048</v>
      </c>
      <c r="D130" s="7" t="s">
        <v>1098</v>
      </c>
      <c r="E130" s="7" t="s">
        <v>91</v>
      </c>
      <c r="F130" s="7"/>
      <c r="G130" s="10" t="n">
        <v>150000000</v>
      </c>
      <c r="H130" s="11" t="n">
        <v>-0.06</v>
      </c>
      <c r="I130" s="11" t="n">
        <v>-0.48</v>
      </c>
      <c r="J130" s="11" t="n">
        <v>-0.48</v>
      </c>
      <c r="K130" s="11" t="n">
        <v>-0.56</v>
      </c>
      <c r="L130" s="11" t="n">
        <v>-1.57</v>
      </c>
      <c r="M130" s="11" t="n">
        <v>-3.55</v>
      </c>
      <c r="N130" s="12" t="n">
        <v>10.075058</v>
      </c>
    </row>
    <row r="131" customFormat="false" ht="15" hidden="false" customHeight="false" outlineLevel="0" collapsed="false">
      <c r="A131" s="7" t="s">
        <v>1109</v>
      </c>
      <c r="B131" s="7" t="s">
        <v>1055</v>
      </c>
      <c r="C131" s="7" t="s">
        <v>1048</v>
      </c>
      <c r="D131" s="7" t="s">
        <v>1098</v>
      </c>
      <c r="E131" s="7" t="s">
        <v>91</v>
      </c>
      <c r="F131" s="7"/>
      <c r="G131" s="10" t="n">
        <v>100</v>
      </c>
      <c r="H131" s="11" t="n">
        <v>-0.43</v>
      </c>
      <c r="I131" s="11" t="n">
        <v>-0.8</v>
      </c>
      <c r="J131" s="11" t="n">
        <v>-0.8</v>
      </c>
      <c r="K131" s="11" t="n">
        <v>-6.84</v>
      </c>
      <c r="L131" s="11" t="n">
        <v>-8.42</v>
      </c>
      <c r="M131" s="11" t="n">
        <v>0</v>
      </c>
      <c r="N131" s="12" t="n">
        <v>9.079711</v>
      </c>
    </row>
    <row r="132" customFormat="false" ht="15" hidden="false" customHeight="false" outlineLevel="0" collapsed="false">
      <c r="A132" s="7" t="s">
        <v>1109</v>
      </c>
      <c r="B132" s="7" t="s">
        <v>1056</v>
      </c>
      <c r="C132" s="7" t="s">
        <v>1048</v>
      </c>
      <c r="D132" s="7" t="s">
        <v>1098</v>
      </c>
      <c r="E132" s="7" t="s">
        <v>91</v>
      </c>
      <c r="F132" s="7"/>
      <c r="G132" s="10" t="n">
        <v>1000000</v>
      </c>
      <c r="H132" s="11" t="n">
        <v>-0.43</v>
      </c>
      <c r="I132" s="11" t="n">
        <v>-0.8</v>
      </c>
      <c r="J132" s="11" t="n">
        <v>-0.8</v>
      </c>
      <c r="K132" s="11" t="n">
        <v>-6.59</v>
      </c>
      <c r="L132" s="11" t="n">
        <v>-8.1</v>
      </c>
      <c r="M132" s="11" t="n">
        <v>0</v>
      </c>
      <c r="N132" s="12" t="n">
        <v>9.043816</v>
      </c>
    </row>
    <row r="133" customFormat="false" ht="15" hidden="false" customHeight="false" outlineLevel="0" collapsed="false">
      <c r="A133" s="7" t="s">
        <v>1109</v>
      </c>
      <c r="B133" s="7" t="s">
        <v>1057</v>
      </c>
      <c r="C133" s="7" t="s">
        <v>1048</v>
      </c>
      <c r="D133" s="7" t="s">
        <v>1098</v>
      </c>
      <c r="E133" s="7" t="s">
        <v>91</v>
      </c>
      <c r="F133" s="7"/>
      <c r="G133" s="10" t="n">
        <v>20000000</v>
      </c>
      <c r="H133" s="11" t="n">
        <v>-0.43</v>
      </c>
      <c r="I133" s="11" t="n">
        <v>-0.79</v>
      </c>
      <c r="J133" s="11" t="n">
        <v>-0.79</v>
      </c>
      <c r="K133" s="11" t="n">
        <v>-6.38</v>
      </c>
      <c r="L133" s="11" t="n">
        <v>-7.84</v>
      </c>
      <c r="M133" s="11" t="n">
        <v>0</v>
      </c>
      <c r="N133" s="12" t="n">
        <v>8.988161</v>
      </c>
    </row>
    <row r="134" customFormat="false" ht="15" hidden="false" customHeight="false" outlineLevel="0" collapsed="false">
      <c r="A134" s="7" t="s">
        <v>1109</v>
      </c>
      <c r="B134" s="7" t="s">
        <v>1058</v>
      </c>
      <c r="C134" s="7" t="s">
        <v>1048</v>
      </c>
      <c r="D134" s="7" t="s">
        <v>1098</v>
      </c>
      <c r="E134" s="7" t="s">
        <v>91</v>
      </c>
      <c r="F134" s="7"/>
      <c r="G134" s="10" t="n">
        <v>150000000</v>
      </c>
      <c r="H134" s="11" t="n">
        <v>-0.43</v>
      </c>
      <c r="I134" s="11" t="n">
        <v>-0.78</v>
      </c>
      <c r="J134" s="11" t="n">
        <v>-0.78</v>
      </c>
      <c r="K134" s="11" t="n">
        <v>-6.09</v>
      </c>
      <c r="L134" s="11" t="n">
        <v>-7.46</v>
      </c>
      <c r="M134" s="11" t="n">
        <v>0</v>
      </c>
      <c r="N134" s="12" t="n">
        <v>9.039587</v>
      </c>
    </row>
    <row r="135" customFormat="false" ht="15" hidden="false" customHeight="false" outlineLevel="0" collapsed="false">
      <c r="A135" s="7" t="s">
        <v>1110</v>
      </c>
      <c r="B135" s="7" t="s">
        <v>1055</v>
      </c>
      <c r="C135" s="7" t="s">
        <v>1048</v>
      </c>
      <c r="D135" s="7" t="s">
        <v>1098</v>
      </c>
      <c r="E135" s="7" t="s">
        <v>91</v>
      </c>
      <c r="F135" s="7"/>
      <c r="G135" s="10" t="n">
        <v>0</v>
      </c>
      <c r="H135" s="11" t="n">
        <v>-0.43</v>
      </c>
      <c r="I135" s="11" t="n">
        <v>1.06</v>
      </c>
      <c r="J135" s="11" t="n">
        <v>1.06</v>
      </c>
      <c r="K135" s="11" t="n">
        <v>7.3</v>
      </c>
      <c r="L135" s="11" t="n">
        <v>9.07</v>
      </c>
      <c r="M135" s="11" t="n">
        <v>21.93</v>
      </c>
      <c r="N135" s="12" t="n">
        <v>67.013802</v>
      </c>
    </row>
    <row r="136" customFormat="false" ht="15" hidden="false" customHeight="false" outlineLevel="0" collapsed="false">
      <c r="A136" s="7" t="s">
        <v>1110</v>
      </c>
      <c r="B136" s="7" t="s">
        <v>1056</v>
      </c>
      <c r="C136" s="7" t="s">
        <v>1048</v>
      </c>
      <c r="D136" s="7" t="s">
        <v>1098</v>
      </c>
      <c r="E136" s="7" t="s">
        <v>91</v>
      </c>
      <c r="F136" s="7"/>
      <c r="G136" s="10" t="n">
        <v>1000000</v>
      </c>
      <c r="H136" s="11" t="n">
        <v>-0.43</v>
      </c>
      <c r="I136" s="11" t="n">
        <v>1.07</v>
      </c>
      <c r="J136" s="11" t="n">
        <v>1.07</v>
      </c>
      <c r="K136" s="11" t="n">
        <v>7.78</v>
      </c>
      <c r="L136" s="11" t="n">
        <v>9.7</v>
      </c>
      <c r="M136" s="11" t="n">
        <v>23.35</v>
      </c>
      <c r="N136" s="12" t="n">
        <v>71.010757</v>
      </c>
    </row>
    <row r="137" customFormat="false" ht="15" hidden="false" customHeight="false" outlineLevel="0" collapsed="false">
      <c r="A137" s="7" t="s">
        <v>1110</v>
      </c>
      <c r="B137" s="7" t="s">
        <v>1057</v>
      </c>
      <c r="C137" s="7" t="s">
        <v>1048</v>
      </c>
      <c r="D137" s="7" t="s">
        <v>1098</v>
      </c>
      <c r="E137" s="7" t="s">
        <v>91</v>
      </c>
      <c r="F137" s="7"/>
      <c r="G137" s="10" t="n">
        <v>20000000</v>
      </c>
      <c r="H137" s="11" t="n">
        <v>-0.43</v>
      </c>
      <c r="I137" s="11" t="n">
        <v>1.08</v>
      </c>
      <c r="J137" s="11" t="n">
        <v>1.08</v>
      </c>
      <c r="K137" s="11" t="n">
        <v>8.26</v>
      </c>
      <c r="L137" s="11" t="n">
        <v>10.34</v>
      </c>
      <c r="M137" s="11" t="n">
        <v>24.79</v>
      </c>
      <c r="N137" s="12" t="n">
        <v>79.208869</v>
      </c>
    </row>
    <row r="138" customFormat="false" ht="15" hidden="false" customHeight="false" outlineLevel="0" collapsed="false">
      <c r="A138" s="7" t="s">
        <v>1110</v>
      </c>
      <c r="B138" s="7" t="s">
        <v>1058</v>
      </c>
      <c r="C138" s="7" t="s">
        <v>1048</v>
      </c>
      <c r="D138" s="7" t="s">
        <v>1098</v>
      </c>
      <c r="E138" s="7" t="s">
        <v>91</v>
      </c>
      <c r="F138" s="7"/>
      <c r="G138" s="10" t="n">
        <v>150000000</v>
      </c>
      <c r="H138" s="11" t="n">
        <v>-0.43</v>
      </c>
      <c r="I138" s="11" t="n">
        <v>1.1</v>
      </c>
      <c r="J138" s="11" t="n">
        <v>1.1</v>
      </c>
      <c r="K138" s="11" t="n">
        <v>0</v>
      </c>
      <c r="L138" s="11" t="n">
        <v>0</v>
      </c>
      <c r="M138" s="11" t="n">
        <v>20.73</v>
      </c>
      <c r="N138" s="12" t="n">
        <v>76.736735</v>
      </c>
    </row>
    <row r="139" customFormat="false" ht="15" hidden="false" customHeight="false" outlineLevel="0" collapsed="false">
      <c r="A139" s="7" t="s">
        <v>1110</v>
      </c>
      <c r="B139" s="7" t="s">
        <v>1071</v>
      </c>
      <c r="C139" s="7" t="s">
        <v>1048</v>
      </c>
      <c r="D139" s="7" t="s">
        <v>1098</v>
      </c>
      <c r="E139" s="7" t="s">
        <v>91</v>
      </c>
      <c r="F139" s="7"/>
      <c r="G139" s="10" t="n">
        <v>300000000</v>
      </c>
      <c r="H139" s="11" t="n">
        <v>0</v>
      </c>
      <c r="I139" s="11" t="n">
        <v>0</v>
      </c>
      <c r="J139" s="11" t="n">
        <v>0</v>
      </c>
      <c r="K139" s="11" t="n">
        <v>0</v>
      </c>
      <c r="L139" s="11" t="n">
        <v>0</v>
      </c>
      <c r="M139" s="11" t="n">
        <v>0</v>
      </c>
      <c r="N139" s="12" t="n">
        <v>9.45554</v>
      </c>
    </row>
    <row r="140" customFormat="false" ht="15" hidden="false" customHeight="false" outlineLevel="0" collapsed="false">
      <c r="A140" s="7" t="s">
        <v>1111</v>
      </c>
      <c r="B140" s="7" t="s">
        <v>1055</v>
      </c>
      <c r="C140" s="7" t="s">
        <v>1048</v>
      </c>
      <c r="D140" s="7" t="s">
        <v>1098</v>
      </c>
      <c r="E140" s="7" t="s">
        <v>91</v>
      </c>
      <c r="F140" s="7"/>
      <c r="G140" s="10" t="n">
        <v>500000</v>
      </c>
      <c r="H140" s="11" t="n">
        <v>-0.3</v>
      </c>
      <c r="I140" s="11" t="n">
        <v>1.17</v>
      </c>
      <c r="J140" s="11" t="n">
        <v>1.17</v>
      </c>
      <c r="K140" s="11" t="n">
        <v>3.74</v>
      </c>
      <c r="L140" s="11" t="n">
        <v>1.26</v>
      </c>
      <c r="M140" s="11" t="n">
        <v>8.34</v>
      </c>
      <c r="N140" s="12" t="n">
        <v>65.157421</v>
      </c>
    </row>
    <row r="141" customFormat="false" ht="15" hidden="false" customHeight="false" outlineLevel="0" collapsed="false">
      <c r="A141" s="7" t="s">
        <v>1111</v>
      </c>
      <c r="B141" s="7" t="s">
        <v>1056</v>
      </c>
      <c r="C141" s="7" t="s">
        <v>1048</v>
      </c>
      <c r="D141" s="7" t="s">
        <v>1098</v>
      </c>
      <c r="E141" s="7" t="s">
        <v>91</v>
      </c>
      <c r="F141" s="7"/>
      <c r="G141" s="10" t="n">
        <v>1000000</v>
      </c>
      <c r="H141" s="11" t="n">
        <v>-0.3</v>
      </c>
      <c r="I141" s="11" t="n">
        <v>1.18</v>
      </c>
      <c r="J141" s="11" t="n">
        <v>1.18</v>
      </c>
      <c r="K141" s="11" t="n">
        <v>4.21</v>
      </c>
      <c r="L141" s="11" t="n">
        <v>1.85</v>
      </c>
      <c r="M141" s="11" t="n">
        <v>9.61</v>
      </c>
      <c r="N141" s="12" t="n">
        <v>70.723513</v>
      </c>
    </row>
    <row r="142" customFormat="false" ht="15" hidden="false" customHeight="false" outlineLevel="0" collapsed="false">
      <c r="A142" s="7" t="s">
        <v>1111</v>
      </c>
      <c r="B142" s="7" t="s">
        <v>1057</v>
      </c>
      <c r="C142" s="7" t="s">
        <v>1048</v>
      </c>
      <c r="D142" s="7" t="s">
        <v>1098</v>
      </c>
      <c r="E142" s="7" t="s">
        <v>91</v>
      </c>
      <c r="F142" s="7"/>
      <c r="G142" s="10" t="n">
        <v>20000000</v>
      </c>
      <c r="H142" s="11" t="n">
        <v>-0.3</v>
      </c>
      <c r="I142" s="11" t="n">
        <v>1.19</v>
      </c>
      <c r="J142" s="11" t="n">
        <v>1.19</v>
      </c>
      <c r="K142" s="11" t="n">
        <v>4.67</v>
      </c>
      <c r="L142" s="11" t="n">
        <v>2.44</v>
      </c>
      <c r="M142" s="11" t="n">
        <v>10.92</v>
      </c>
      <c r="N142" s="12" t="n">
        <v>81.814294</v>
      </c>
    </row>
    <row r="143" customFormat="false" ht="15" hidden="false" customHeight="false" outlineLevel="0" collapsed="false">
      <c r="A143" s="7" t="s">
        <v>1111</v>
      </c>
      <c r="B143" s="7" t="s">
        <v>1058</v>
      </c>
      <c r="C143" s="7" t="s">
        <v>1048</v>
      </c>
      <c r="D143" s="7" t="s">
        <v>1098</v>
      </c>
      <c r="E143" s="7" t="s">
        <v>91</v>
      </c>
      <c r="F143" s="7"/>
      <c r="G143" s="10" t="n">
        <v>150000000</v>
      </c>
      <c r="H143" s="11" t="n">
        <v>-0.29</v>
      </c>
      <c r="I143" s="11" t="n">
        <v>1.21</v>
      </c>
      <c r="J143" s="11" t="n">
        <v>1.21</v>
      </c>
      <c r="K143" s="11" t="n">
        <v>5.13</v>
      </c>
      <c r="L143" s="11" t="n">
        <v>3.04</v>
      </c>
      <c r="M143" s="11" t="n">
        <v>12.21</v>
      </c>
      <c r="N143" s="12" t="n">
        <v>90.827151</v>
      </c>
    </row>
    <row r="144" customFormat="false" ht="15" hidden="false" customHeight="false" outlineLevel="0" collapsed="false">
      <c r="A144" s="7" t="s">
        <v>1111</v>
      </c>
      <c r="B144" s="7" t="s">
        <v>1071</v>
      </c>
      <c r="C144" s="7" t="s">
        <v>1048</v>
      </c>
      <c r="D144" s="7" t="s">
        <v>1098</v>
      </c>
      <c r="E144" s="7" t="s">
        <v>91</v>
      </c>
      <c r="F144" s="7"/>
      <c r="G144" s="10" t="n">
        <v>300000000</v>
      </c>
      <c r="H144" s="11" t="n">
        <v>-0.29</v>
      </c>
      <c r="I144" s="11" t="n">
        <v>1.21</v>
      </c>
      <c r="J144" s="11" t="n">
        <v>1.21</v>
      </c>
      <c r="K144" s="11" t="n">
        <v>5.37</v>
      </c>
      <c r="L144" s="11" t="n">
        <v>3.34</v>
      </c>
      <c r="M144" s="11" t="n">
        <v>0</v>
      </c>
      <c r="N144" s="12" t="n">
        <v>71.642958</v>
      </c>
    </row>
    <row r="145" customFormat="false" ht="15" hidden="false" customHeight="false" outlineLevel="0" collapsed="false">
      <c r="A145" s="7" t="s">
        <v>1112</v>
      </c>
      <c r="B145" s="7" t="s">
        <v>1055</v>
      </c>
      <c r="C145" s="7" t="s">
        <v>1048</v>
      </c>
      <c r="D145" s="7" t="s">
        <v>1093</v>
      </c>
      <c r="E145" s="7" t="s">
        <v>1113</v>
      </c>
      <c r="F145" s="7"/>
      <c r="G145" s="10" t="n">
        <v>0</v>
      </c>
      <c r="H145" s="11" t="n">
        <v>-0.21</v>
      </c>
      <c r="I145" s="11" t="n">
        <v>0.18</v>
      </c>
      <c r="J145" s="11" t="n">
        <v>0.18</v>
      </c>
      <c r="K145" s="11" t="n">
        <v>2.28</v>
      </c>
      <c r="L145" s="11" t="n">
        <v>4.17</v>
      </c>
      <c r="M145" s="11" t="n">
        <v>14.06</v>
      </c>
      <c r="N145" s="12" t="n">
        <v>0.168134</v>
      </c>
    </row>
    <row r="146" customFormat="false" ht="15" hidden="false" customHeight="false" outlineLevel="0" collapsed="false">
      <c r="A146" s="7" t="s">
        <v>1112</v>
      </c>
      <c r="B146" s="7" t="s">
        <v>1056</v>
      </c>
      <c r="C146" s="7" t="s">
        <v>1048</v>
      </c>
      <c r="D146" s="7" t="s">
        <v>1093</v>
      </c>
      <c r="E146" s="7" t="s">
        <v>1113</v>
      </c>
      <c r="F146" s="7"/>
      <c r="G146" s="10" t="n">
        <v>1000000</v>
      </c>
      <c r="H146" s="11" t="n">
        <v>-0.21</v>
      </c>
      <c r="I146" s="11" t="n">
        <v>0.19</v>
      </c>
      <c r="J146" s="11" t="n">
        <v>0.19</v>
      </c>
      <c r="K146" s="11" t="n">
        <v>2.74</v>
      </c>
      <c r="L146" s="11" t="n">
        <v>4.78</v>
      </c>
      <c r="M146" s="11" t="n">
        <v>15.4</v>
      </c>
      <c r="N146" s="12" t="n">
        <v>0.178826</v>
      </c>
    </row>
    <row r="147" customFormat="false" ht="15" hidden="false" customHeight="false" outlineLevel="0" collapsed="false">
      <c r="A147" s="7" t="s">
        <v>1112</v>
      </c>
      <c r="B147" s="7" t="s">
        <v>1057</v>
      </c>
      <c r="C147" s="7" t="s">
        <v>1048</v>
      </c>
      <c r="D147" s="7" t="s">
        <v>1093</v>
      </c>
      <c r="E147" s="7" t="s">
        <v>1113</v>
      </c>
      <c r="F147" s="7"/>
      <c r="G147" s="10" t="n">
        <v>20000000</v>
      </c>
      <c r="H147" s="11" t="n">
        <v>-0.21</v>
      </c>
      <c r="I147" s="11" t="n">
        <v>0.19</v>
      </c>
      <c r="J147" s="11" t="n">
        <v>0.19</v>
      </c>
      <c r="K147" s="11" t="n">
        <v>2.97</v>
      </c>
      <c r="L147" s="11" t="n">
        <v>5.09</v>
      </c>
      <c r="M147" s="11" t="n">
        <v>16.07</v>
      </c>
      <c r="N147" s="12" t="n">
        <v>0.184423</v>
      </c>
    </row>
    <row r="148" customFormat="false" ht="15" hidden="false" customHeight="false" outlineLevel="0" collapsed="false">
      <c r="A148" s="7" t="s">
        <v>1112</v>
      </c>
      <c r="B148" s="7" t="s">
        <v>1058</v>
      </c>
      <c r="C148" s="7" t="s">
        <v>1048</v>
      </c>
      <c r="D148" s="7" t="s">
        <v>1093</v>
      </c>
      <c r="E148" s="7" t="s">
        <v>1113</v>
      </c>
      <c r="F148" s="7"/>
      <c r="G148" s="10" t="n">
        <v>150000000</v>
      </c>
      <c r="H148" s="11" t="n">
        <v>0</v>
      </c>
      <c r="I148" s="11" t="n">
        <v>0</v>
      </c>
      <c r="J148" s="11" t="n">
        <v>0</v>
      </c>
      <c r="K148" s="11" t="n">
        <v>0</v>
      </c>
      <c r="L148" s="11" t="n">
        <v>0</v>
      </c>
      <c r="M148" s="11" t="n">
        <v>0</v>
      </c>
      <c r="N148" s="12" t="n">
        <v>0.181527</v>
      </c>
    </row>
    <row r="149" customFormat="false" ht="15" hidden="false" customHeight="false" outlineLevel="0" collapsed="false">
      <c r="A149" s="7" t="s">
        <v>1112</v>
      </c>
      <c r="B149" s="7" t="s">
        <v>1071</v>
      </c>
      <c r="C149" s="7" t="s">
        <v>1048</v>
      </c>
      <c r="D149" s="7" t="s">
        <v>1093</v>
      </c>
      <c r="E149" s="7" t="s">
        <v>1113</v>
      </c>
      <c r="F149" s="7"/>
      <c r="G149" s="10" t="n">
        <v>300000000</v>
      </c>
      <c r="H149" s="11" t="n">
        <v>0</v>
      </c>
      <c r="I149" s="11" t="n">
        <v>0</v>
      </c>
      <c r="J149" s="11" t="n">
        <v>0</v>
      </c>
      <c r="K149" s="11" t="n">
        <v>0</v>
      </c>
      <c r="L149" s="11" t="n">
        <v>0</v>
      </c>
      <c r="M149" s="11" t="n">
        <v>0</v>
      </c>
      <c r="N149" s="12" t="n">
        <v>0.15588</v>
      </c>
    </row>
    <row r="150" customFormat="false" ht="15" hidden="false" customHeight="false" outlineLevel="0" collapsed="false">
      <c r="A150" s="7" t="s">
        <v>1114</v>
      </c>
      <c r="B150" s="7" t="s">
        <v>1055</v>
      </c>
      <c r="C150" s="7" t="s">
        <v>1048</v>
      </c>
      <c r="D150" s="7" t="s">
        <v>1093</v>
      </c>
      <c r="E150" s="7" t="s">
        <v>1113</v>
      </c>
      <c r="F150" s="7"/>
      <c r="G150" s="10" t="n">
        <v>0</v>
      </c>
      <c r="H150" s="11" t="n">
        <v>-0.55</v>
      </c>
      <c r="I150" s="11" t="n">
        <v>0.83</v>
      </c>
      <c r="J150" s="11" t="n">
        <v>0.83</v>
      </c>
      <c r="K150" s="11" t="n">
        <v>8.88</v>
      </c>
      <c r="L150" s="11" t="n">
        <v>11.6</v>
      </c>
      <c r="M150" s="11" t="n">
        <v>24.83</v>
      </c>
      <c r="N150" s="12" t="n">
        <v>0.179197</v>
      </c>
    </row>
    <row r="151" customFormat="false" ht="15" hidden="false" customHeight="false" outlineLevel="0" collapsed="false">
      <c r="A151" s="7" t="s">
        <v>1114</v>
      </c>
      <c r="B151" s="7" t="s">
        <v>1056</v>
      </c>
      <c r="C151" s="7" t="s">
        <v>1048</v>
      </c>
      <c r="D151" s="7" t="s">
        <v>1093</v>
      </c>
      <c r="E151" s="7" t="s">
        <v>1113</v>
      </c>
      <c r="F151" s="7"/>
      <c r="G151" s="10" t="n">
        <v>1000000</v>
      </c>
      <c r="H151" s="11" t="n">
        <v>-0.55</v>
      </c>
      <c r="I151" s="11" t="n">
        <v>0.83</v>
      </c>
      <c r="J151" s="11" t="n">
        <v>0.83</v>
      </c>
      <c r="K151" s="11" t="n">
        <v>9.13</v>
      </c>
      <c r="L151" s="11" t="n">
        <v>11.93</v>
      </c>
      <c r="M151" s="11" t="n">
        <v>25.57</v>
      </c>
      <c r="N151" s="12" t="n">
        <v>0.188845</v>
      </c>
    </row>
    <row r="152" customFormat="false" ht="15" hidden="false" customHeight="false" outlineLevel="0" collapsed="false">
      <c r="A152" s="7" t="s">
        <v>1114</v>
      </c>
      <c r="B152" s="7" t="s">
        <v>1057</v>
      </c>
      <c r="C152" s="7" t="s">
        <v>1048</v>
      </c>
      <c r="D152" s="7" t="s">
        <v>1093</v>
      </c>
      <c r="E152" s="7" t="s">
        <v>1113</v>
      </c>
      <c r="F152" s="7"/>
      <c r="G152" s="10" t="n">
        <v>20000000</v>
      </c>
      <c r="H152" s="11" t="n">
        <v>-0.55</v>
      </c>
      <c r="I152" s="11" t="n">
        <v>0.84</v>
      </c>
      <c r="J152" s="11" t="n">
        <v>0.84</v>
      </c>
      <c r="K152" s="11" t="n">
        <v>9.38</v>
      </c>
      <c r="L152" s="11" t="n">
        <v>12.26</v>
      </c>
      <c r="M152" s="11" t="n">
        <v>26.32</v>
      </c>
      <c r="N152" s="12" t="n">
        <v>0.203334</v>
      </c>
    </row>
    <row r="153" customFormat="false" ht="15" hidden="false" customHeight="false" outlineLevel="0" collapsed="false">
      <c r="A153" s="7" t="s">
        <v>1114</v>
      </c>
      <c r="B153" s="7" t="s">
        <v>1058</v>
      </c>
      <c r="C153" s="7" t="s">
        <v>1048</v>
      </c>
      <c r="D153" s="7" t="s">
        <v>1093</v>
      </c>
      <c r="E153" s="7" t="s">
        <v>1113</v>
      </c>
      <c r="F153" s="7"/>
      <c r="G153" s="10" t="n">
        <v>150000000</v>
      </c>
      <c r="H153" s="11" t="n">
        <v>-1.15</v>
      </c>
      <c r="I153" s="11" t="n">
        <v>-0.5</v>
      </c>
      <c r="J153" s="11" t="n">
        <v>-0.5</v>
      </c>
      <c r="K153" s="11" t="n">
        <v>-0.39</v>
      </c>
      <c r="L153" s="11" t="n">
        <v>-0.24</v>
      </c>
      <c r="M153" s="11" t="n">
        <v>-0.21</v>
      </c>
      <c r="N153" s="12" t="n">
        <v>0.169078</v>
      </c>
    </row>
    <row r="154" customFormat="false" ht="15" hidden="false" customHeight="false" outlineLevel="0" collapsed="false">
      <c r="A154" s="7" t="s">
        <v>1114</v>
      </c>
      <c r="B154" s="7" t="s">
        <v>1071</v>
      </c>
      <c r="C154" s="7" t="s">
        <v>1048</v>
      </c>
      <c r="D154" s="7" t="s">
        <v>1093</v>
      </c>
      <c r="E154" s="7" t="s">
        <v>1113</v>
      </c>
      <c r="F154" s="7"/>
      <c r="G154" s="10" t="n">
        <v>300000000</v>
      </c>
      <c r="H154" s="11" t="n">
        <v>0</v>
      </c>
      <c r="I154" s="11" t="n">
        <v>0</v>
      </c>
      <c r="J154" s="11" t="n">
        <v>0</v>
      </c>
      <c r="K154" s="11" t="n">
        <v>0</v>
      </c>
      <c r="L154" s="11" t="n">
        <v>0</v>
      </c>
      <c r="M154" s="11" t="n">
        <v>0</v>
      </c>
      <c r="N154" s="12" t="n">
        <v>0.117124</v>
      </c>
    </row>
    <row r="155" customFormat="false" ht="15" hidden="false" customHeight="false" outlineLevel="0" collapsed="false">
      <c r="A155" s="7" t="s">
        <v>1115</v>
      </c>
      <c r="B155" s="7" t="s">
        <v>1055</v>
      </c>
      <c r="C155" s="7" t="s">
        <v>1048</v>
      </c>
      <c r="D155" s="7" t="s">
        <v>1093</v>
      </c>
      <c r="E155" s="7" t="s">
        <v>1095</v>
      </c>
      <c r="F155" s="7"/>
      <c r="G155" s="10" t="n">
        <v>0</v>
      </c>
      <c r="H155" s="11" t="n">
        <v>-0.21</v>
      </c>
      <c r="I155" s="11" t="n">
        <v>-0.42</v>
      </c>
      <c r="J155" s="11" t="n">
        <v>-0.42</v>
      </c>
      <c r="K155" s="11" t="n">
        <v>-0.13</v>
      </c>
      <c r="L155" s="11" t="n">
        <v>-1.3</v>
      </c>
      <c r="M155" s="11" t="n">
        <v>-2.5</v>
      </c>
      <c r="N155" s="12" t="n">
        <v>0.096408</v>
      </c>
    </row>
    <row r="156" customFormat="false" ht="15" hidden="false" customHeight="false" outlineLevel="0" collapsed="false">
      <c r="A156" s="7" t="s">
        <v>1115</v>
      </c>
      <c r="B156" s="7" t="s">
        <v>1056</v>
      </c>
      <c r="C156" s="7" t="s">
        <v>1048</v>
      </c>
      <c r="D156" s="7" t="s">
        <v>1093</v>
      </c>
      <c r="E156" s="7" t="s">
        <v>1095</v>
      </c>
      <c r="F156" s="7"/>
      <c r="G156" s="10" t="n">
        <v>1000000</v>
      </c>
      <c r="H156" s="11" t="n">
        <v>-0.21</v>
      </c>
      <c r="I156" s="11" t="n">
        <v>-0.4</v>
      </c>
      <c r="J156" s="11" t="n">
        <v>-0.4</v>
      </c>
      <c r="K156" s="11" t="n">
        <v>0.32</v>
      </c>
      <c r="L156" s="11" t="n">
        <v>-0.72</v>
      </c>
      <c r="M156" s="11" t="n">
        <v>-1.36</v>
      </c>
      <c r="N156" s="12" t="n">
        <v>0.102166</v>
      </c>
    </row>
    <row r="157" customFormat="false" ht="15" hidden="false" customHeight="false" outlineLevel="0" collapsed="false">
      <c r="A157" s="7" t="s">
        <v>1115</v>
      </c>
      <c r="B157" s="7" t="s">
        <v>1057</v>
      </c>
      <c r="C157" s="7" t="s">
        <v>1048</v>
      </c>
      <c r="D157" s="7" t="s">
        <v>1093</v>
      </c>
      <c r="E157" s="7" t="s">
        <v>1095</v>
      </c>
      <c r="F157" s="7"/>
      <c r="G157" s="10" t="n">
        <v>20000000</v>
      </c>
      <c r="H157" s="11" t="n">
        <v>-0.21</v>
      </c>
      <c r="I157" s="11" t="n">
        <v>-0.4</v>
      </c>
      <c r="J157" s="11" t="n">
        <v>-0.4</v>
      </c>
      <c r="K157" s="11" t="n">
        <v>0.54</v>
      </c>
      <c r="L157" s="11" t="n">
        <v>-0.43</v>
      </c>
      <c r="M157" s="11" t="n">
        <v>-0.78</v>
      </c>
      <c r="N157" s="12" t="n">
        <v>0.105174</v>
      </c>
    </row>
    <row r="158" customFormat="false" ht="15" hidden="false" customHeight="false" outlineLevel="0" collapsed="false">
      <c r="A158" s="7" t="s">
        <v>1115</v>
      </c>
      <c r="B158" s="7" t="s">
        <v>1058</v>
      </c>
      <c r="C158" s="7" t="s">
        <v>1048</v>
      </c>
      <c r="D158" s="7" t="s">
        <v>1093</v>
      </c>
      <c r="E158" s="7" t="s">
        <v>1095</v>
      </c>
      <c r="F158" s="7"/>
      <c r="G158" s="10" t="n">
        <v>150000000</v>
      </c>
      <c r="H158" s="11" t="n">
        <v>0</v>
      </c>
      <c r="I158" s="11" t="n">
        <v>0</v>
      </c>
      <c r="J158" s="11" t="n">
        <v>0</v>
      </c>
      <c r="K158" s="11" t="n">
        <v>0</v>
      </c>
      <c r="L158" s="11" t="n">
        <v>0</v>
      </c>
      <c r="M158" s="11" t="n">
        <v>0</v>
      </c>
      <c r="N158" s="12" t="n">
        <v>0.108896</v>
      </c>
    </row>
    <row r="159" customFormat="false" ht="15" hidden="false" customHeight="false" outlineLevel="0" collapsed="false">
      <c r="A159" s="7" t="s">
        <v>1115</v>
      </c>
      <c r="B159" s="7" t="s">
        <v>1071</v>
      </c>
      <c r="C159" s="7" t="s">
        <v>1048</v>
      </c>
      <c r="D159" s="7" t="s">
        <v>1093</v>
      </c>
      <c r="E159" s="7" t="s">
        <v>1095</v>
      </c>
      <c r="F159" s="7"/>
      <c r="G159" s="10" t="n">
        <v>300000000</v>
      </c>
      <c r="H159" s="11" t="n">
        <v>-0.21</v>
      </c>
      <c r="I159" s="11" t="n">
        <v>-0.38</v>
      </c>
      <c r="J159" s="11" t="n">
        <v>-0.38</v>
      </c>
      <c r="K159" s="11" t="n">
        <v>0</v>
      </c>
      <c r="L159" s="11" t="n">
        <v>0</v>
      </c>
      <c r="M159" s="11" t="n">
        <v>0</v>
      </c>
      <c r="N159" s="12" t="n">
        <v>0.105526</v>
      </c>
    </row>
    <row r="160" customFormat="false" ht="15" hidden="false" customHeight="false" outlineLevel="0" collapsed="false">
      <c r="A160" s="7" t="s">
        <v>1116</v>
      </c>
      <c r="B160" s="7" t="s">
        <v>1055</v>
      </c>
      <c r="C160" s="7" t="s">
        <v>1048</v>
      </c>
      <c r="D160" s="7" t="s">
        <v>1093</v>
      </c>
      <c r="E160" s="7" t="s">
        <v>1095</v>
      </c>
      <c r="F160" s="7"/>
      <c r="G160" s="10" t="n">
        <v>0</v>
      </c>
      <c r="H160" s="11" t="n">
        <v>-0.57</v>
      </c>
      <c r="I160" s="11" t="n">
        <v>0.09</v>
      </c>
      <c r="J160" s="11" t="n">
        <v>0.09</v>
      </c>
      <c r="K160" s="11" t="n">
        <v>9.12</v>
      </c>
      <c r="L160" s="11" t="n">
        <v>8.76</v>
      </c>
      <c r="M160" s="11" t="n">
        <v>12.51</v>
      </c>
      <c r="N160" s="12" t="n">
        <v>0.133272</v>
      </c>
    </row>
    <row r="161" customFormat="false" ht="15" hidden="false" customHeight="false" outlineLevel="0" collapsed="false">
      <c r="A161" s="7" t="s">
        <v>1116</v>
      </c>
      <c r="B161" s="7" t="s">
        <v>1056</v>
      </c>
      <c r="C161" s="7" t="s">
        <v>1048</v>
      </c>
      <c r="D161" s="7" t="s">
        <v>1093</v>
      </c>
      <c r="E161" s="7" t="s">
        <v>1095</v>
      </c>
      <c r="F161" s="7"/>
      <c r="G161" s="10" t="n">
        <v>1000000</v>
      </c>
      <c r="H161" s="11" t="n">
        <v>-0.57</v>
      </c>
      <c r="I161" s="11" t="n">
        <v>0.1</v>
      </c>
      <c r="J161" s="11" t="n">
        <v>0.1</v>
      </c>
      <c r="K161" s="11" t="n">
        <v>9.61</v>
      </c>
      <c r="L161" s="11" t="n">
        <v>9.4</v>
      </c>
      <c r="M161" s="11" t="n">
        <v>13.84</v>
      </c>
      <c r="N161" s="12" t="n">
        <v>0.141228</v>
      </c>
    </row>
    <row r="162" customFormat="false" ht="15" hidden="false" customHeight="false" outlineLevel="0" collapsed="false">
      <c r="A162" s="7" t="s">
        <v>1116</v>
      </c>
      <c r="B162" s="7" t="s">
        <v>1057</v>
      </c>
      <c r="C162" s="7" t="s">
        <v>1048</v>
      </c>
      <c r="D162" s="7" t="s">
        <v>1093</v>
      </c>
      <c r="E162" s="7" t="s">
        <v>1095</v>
      </c>
      <c r="F162" s="7"/>
      <c r="G162" s="10" t="n">
        <v>20000000</v>
      </c>
      <c r="H162" s="11" t="n">
        <v>-0.57</v>
      </c>
      <c r="I162" s="11" t="n">
        <v>0.12</v>
      </c>
      <c r="J162" s="11" t="n">
        <v>0.12</v>
      </c>
      <c r="K162" s="11" t="n">
        <v>10.35</v>
      </c>
      <c r="L162" s="11" t="n">
        <v>10.37</v>
      </c>
      <c r="M162" s="11" t="n">
        <v>15.86</v>
      </c>
      <c r="N162" s="12" t="n">
        <v>0.154085</v>
      </c>
    </row>
    <row r="163" customFormat="false" ht="15" hidden="false" customHeight="false" outlineLevel="0" collapsed="false">
      <c r="A163" s="7" t="s">
        <v>1116</v>
      </c>
      <c r="B163" s="7" t="s">
        <v>1058</v>
      </c>
      <c r="C163" s="7" t="s">
        <v>1048</v>
      </c>
      <c r="D163" s="7" t="s">
        <v>1093</v>
      </c>
      <c r="E163" s="7" t="s">
        <v>1095</v>
      </c>
      <c r="F163" s="7"/>
      <c r="G163" s="10" t="n">
        <v>150000000</v>
      </c>
      <c r="H163" s="11" t="n">
        <v>0</v>
      </c>
      <c r="I163" s="11" t="n">
        <v>0</v>
      </c>
      <c r="J163" s="11" t="n">
        <v>0</v>
      </c>
      <c r="K163" s="11" t="n">
        <v>0</v>
      </c>
      <c r="L163" s="11" t="n">
        <v>0</v>
      </c>
      <c r="M163" s="11" t="n">
        <v>0</v>
      </c>
      <c r="N163" s="12" t="n">
        <v>0.15862</v>
      </c>
    </row>
    <row r="164" customFormat="false" ht="15" hidden="false" customHeight="false" outlineLevel="0" collapsed="false">
      <c r="A164" s="7" t="s">
        <v>1116</v>
      </c>
      <c r="B164" s="7" t="s">
        <v>1071</v>
      </c>
      <c r="C164" s="7" t="s">
        <v>1048</v>
      </c>
      <c r="D164" s="7" t="s">
        <v>1093</v>
      </c>
      <c r="E164" s="7" t="s">
        <v>1095</v>
      </c>
      <c r="F164" s="7"/>
      <c r="G164" s="10" t="n">
        <v>300000000</v>
      </c>
      <c r="H164" s="11" t="n">
        <v>-0.56</v>
      </c>
      <c r="I164" s="11" t="n">
        <v>0.13</v>
      </c>
      <c r="J164" s="11" t="n">
        <v>0.13</v>
      </c>
      <c r="K164" s="11" t="n">
        <v>0</v>
      </c>
      <c r="L164" s="11" t="n">
        <v>0</v>
      </c>
      <c r="M164" s="11" t="n">
        <v>0</v>
      </c>
      <c r="N164" s="12" t="n">
        <v>0.131667</v>
      </c>
    </row>
    <row r="165" customFormat="false" ht="15" hidden="false" customHeight="false" outlineLevel="0" collapsed="false">
      <c r="A165" s="7" t="s">
        <v>1115</v>
      </c>
      <c r="B165" s="7" t="s">
        <v>1055</v>
      </c>
      <c r="C165" s="7" t="s">
        <v>1048</v>
      </c>
      <c r="D165" s="7" t="s">
        <v>1093</v>
      </c>
      <c r="E165" s="7" t="s">
        <v>1095</v>
      </c>
      <c r="F165" s="7"/>
      <c r="G165" s="10" t="n">
        <v>0</v>
      </c>
      <c r="H165" s="11" t="n">
        <v>-0.28</v>
      </c>
      <c r="I165" s="11" t="n">
        <v>0.12</v>
      </c>
      <c r="J165" s="11" t="n">
        <v>0.12</v>
      </c>
      <c r="K165" s="11" t="n">
        <v>0</v>
      </c>
      <c r="L165" s="11" t="n">
        <v>0.96</v>
      </c>
      <c r="M165" s="11" t="n">
        <v>4.66</v>
      </c>
      <c r="N165" s="12" t="n">
        <v>0.005364</v>
      </c>
    </row>
    <row r="166" customFormat="false" ht="15" hidden="false" customHeight="false" outlineLevel="0" collapsed="false">
      <c r="A166" s="7" t="s">
        <v>1115</v>
      </c>
      <c r="B166" s="7" t="s">
        <v>1056</v>
      </c>
      <c r="C166" s="7" t="s">
        <v>1048</v>
      </c>
      <c r="D166" s="7" t="s">
        <v>1093</v>
      </c>
      <c r="E166" s="7" t="s">
        <v>1095</v>
      </c>
      <c r="F166" s="7"/>
      <c r="G166" s="10" t="n">
        <v>1000000</v>
      </c>
      <c r="H166" s="11" t="n">
        <v>-0.27</v>
      </c>
      <c r="I166" s="11" t="n">
        <v>0.13</v>
      </c>
      <c r="J166" s="11" t="n">
        <v>0.13</v>
      </c>
      <c r="K166" s="11" t="n">
        <v>0.45</v>
      </c>
      <c r="L166" s="11" t="n">
        <v>1.55</v>
      </c>
      <c r="M166" s="11" t="n">
        <v>5.89</v>
      </c>
      <c r="N166" s="12" t="n">
        <v>0.005685</v>
      </c>
    </row>
    <row r="167" customFormat="false" ht="15" hidden="false" customHeight="false" outlineLevel="0" collapsed="false">
      <c r="A167" s="7" t="s">
        <v>1115</v>
      </c>
      <c r="B167" s="7" t="s">
        <v>1057</v>
      </c>
      <c r="C167" s="7" t="s">
        <v>1048</v>
      </c>
      <c r="D167" s="7" t="s">
        <v>1093</v>
      </c>
      <c r="E167" s="7" t="s">
        <v>1095</v>
      </c>
      <c r="F167" s="7"/>
      <c r="G167" s="10" t="n">
        <v>20000000</v>
      </c>
      <c r="H167" s="11" t="n">
        <v>-0.27</v>
      </c>
      <c r="I167" s="11" t="n">
        <v>0.14</v>
      </c>
      <c r="J167" s="11" t="n">
        <v>0.14</v>
      </c>
      <c r="K167" s="11" t="n">
        <v>0.68</v>
      </c>
      <c r="L167" s="11" t="n">
        <v>1.85</v>
      </c>
      <c r="M167" s="11" t="n">
        <v>6.51</v>
      </c>
      <c r="N167" s="12" t="n">
        <v>0.005852</v>
      </c>
    </row>
    <row r="168" customFormat="false" ht="15" hidden="false" customHeight="false" outlineLevel="0" collapsed="false">
      <c r="A168" s="7" t="s">
        <v>1115</v>
      </c>
      <c r="B168" s="7" t="s">
        <v>1058</v>
      </c>
      <c r="C168" s="7" t="s">
        <v>1048</v>
      </c>
      <c r="D168" s="7" t="s">
        <v>1093</v>
      </c>
      <c r="E168" s="7" t="s">
        <v>1095</v>
      </c>
      <c r="F168" s="7"/>
      <c r="G168" s="10" t="n">
        <v>150000000</v>
      </c>
      <c r="H168" s="11" t="n">
        <v>0</v>
      </c>
      <c r="I168" s="11" t="n">
        <v>0</v>
      </c>
      <c r="J168" s="11" t="n">
        <v>0</v>
      </c>
      <c r="K168" s="11" t="n">
        <v>0</v>
      </c>
      <c r="L168" s="11" t="n">
        <v>0</v>
      </c>
      <c r="M168" s="11" t="n">
        <v>0</v>
      </c>
      <c r="N168" s="12" t="n">
        <v>0.006059</v>
      </c>
    </row>
    <row r="169" customFormat="false" ht="15" hidden="false" customHeight="false" outlineLevel="0" collapsed="false">
      <c r="A169" s="7" t="s">
        <v>1115</v>
      </c>
      <c r="B169" s="7" t="s">
        <v>1071</v>
      </c>
      <c r="C169" s="7" t="s">
        <v>1048</v>
      </c>
      <c r="D169" s="7" t="s">
        <v>1093</v>
      </c>
      <c r="E169" s="7" t="s">
        <v>1095</v>
      </c>
      <c r="F169" s="7"/>
      <c r="G169" s="10" t="n">
        <v>300000000</v>
      </c>
      <c r="H169" s="11" t="n">
        <v>-0.27</v>
      </c>
      <c r="I169" s="11" t="n">
        <v>0.16</v>
      </c>
      <c r="J169" s="11" t="n">
        <v>0.16</v>
      </c>
      <c r="K169" s="11" t="n">
        <v>0</v>
      </c>
      <c r="L169" s="11" t="n">
        <v>0</v>
      </c>
      <c r="M169" s="11" t="n">
        <v>0</v>
      </c>
      <c r="N169" s="12" t="n">
        <v>0.005872</v>
      </c>
    </row>
    <row r="170" customFormat="false" ht="15" hidden="false" customHeight="false" outlineLevel="0" collapsed="false">
      <c r="A170" s="7" t="s">
        <v>1116</v>
      </c>
      <c r="B170" s="7" t="s">
        <v>1055</v>
      </c>
      <c r="C170" s="7" t="s">
        <v>1048</v>
      </c>
      <c r="D170" s="7" t="s">
        <v>1093</v>
      </c>
      <c r="E170" s="7" t="s">
        <v>1095</v>
      </c>
      <c r="F170" s="7"/>
      <c r="G170" s="10" t="n">
        <v>0</v>
      </c>
      <c r="H170" s="11" t="n">
        <v>-0.63</v>
      </c>
      <c r="I170" s="11" t="n">
        <v>0.63</v>
      </c>
      <c r="J170" s="11" t="n">
        <v>0.63</v>
      </c>
      <c r="K170" s="11" t="n">
        <v>9.27</v>
      </c>
      <c r="L170" s="11" t="n">
        <v>11.25</v>
      </c>
      <c r="M170" s="11" t="n">
        <v>20.78</v>
      </c>
      <c r="N170" s="12" t="n">
        <v>0.007415</v>
      </c>
    </row>
    <row r="171" customFormat="false" ht="15" hidden="false" customHeight="false" outlineLevel="0" collapsed="false">
      <c r="A171" s="7" t="s">
        <v>1116</v>
      </c>
      <c r="B171" s="7" t="s">
        <v>1056</v>
      </c>
      <c r="C171" s="7" t="s">
        <v>1048</v>
      </c>
      <c r="D171" s="7" t="s">
        <v>1093</v>
      </c>
      <c r="E171" s="7" t="s">
        <v>1095</v>
      </c>
      <c r="F171" s="7"/>
      <c r="G171" s="10" t="n">
        <v>1000000</v>
      </c>
      <c r="H171" s="11" t="n">
        <v>-0.63</v>
      </c>
      <c r="I171" s="11" t="n">
        <v>0.64</v>
      </c>
      <c r="J171" s="11" t="n">
        <v>0.64</v>
      </c>
      <c r="K171" s="11" t="n">
        <v>9.76</v>
      </c>
      <c r="L171" s="11" t="n">
        <v>11.9</v>
      </c>
      <c r="M171" s="11" t="n">
        <v>22.2</v>
      </c>
      <c r="N171" s="12" t="n">
        <v>0.007858</v>
      </c>
    </row>
    <row r="172" customFormat="false" ht="15" hidden="false" customHeight="false" outlineLevel="0" collapsed="false">
      <c r="A172" s="7" t="s">
        <v>1116</v>
      </c>
      <c r="B172" s="7" t="s">
        <v>1057</v>
      </c>
      <c r="C172" s="7" t="s">
        <v>1048</v>
      </c>
      <c r="D172" s="7" t="s">
        <v>1093</v>
      </c>
      <c r="E172" s="7" t="s">
        <v>1095</v>
      </c>
      <c r="F172" s="7"/>
      <c r="G172" s="10" t="n">
        <v>20000000</v>
      </c>
      <c r="H172" s="11" t="n">
        <v>-0.63</v>
      </c>
      <c r="I172" s="11" t="n">
        <v>0.66</v>
      </c>
      <c r="J172" s="11" t="n">
        <v>0.66</v>
      </c>
      <c r="K172" s="11" t="n">
        <v>10.5</v>
      </c>
      <c r="L172" s="11" t="n">
        <v>12.89</v>
      </c>
      <c r="M172" s="11" t="n">
        <v>24.37</v>
      </c>
      <c r="N172" s="12" t="n">
        <v>0.008573</v>
      </c>
    </row>
    <row r="173" customFormat="false" ht="15" hidden="false" customHeight="false" outlineLevel="0" collapsed="false">
      <c r="A173" s="7" t="s">
        <v>1116</v>
      </c>
      <c r="B173" s="7" t="s">
        <v>1058</v>
      </c>
      <c r="C173" s="7" t="s">
        <v>1048</v>
      </c>
      <c r="D173" s="7" t="s">
        <v>1093</v>
      </c>
      <c r="E173" s="7" t="s">
        <v>1095</v>
      </c>
      <c r="F173" s="7"/>
      <c r="G173" s="10" t="n">
        <v>150000000</v>
      </c>
      <c r="H173" s="11" t="n">
        <v>0</v>
      </c>
      <c r="I173" s="11" t="n">
        <v>0</v>
      </c>
      <c r="J173" s="11" t="n">
        <v>0</v>
      </c>
      <c r="K173" s="11" t="n">
        <v>0</v>
      </c>
      <c r="L173" s="11" t="n">
        <v>0</v>
      </c>
      <c r="M173" s="11" t="n">
        <v>0</v>
      </c>
      <c r="N173" s="12" t="n">
        <v>0.008826</v>
      </c>
    </row>
    <row r="174" customFormat="false" ht="15" hidden="false" customHeight="false" outlineLevel="0" collapsed="false">
      <c r="A174" s="7" t="s">
        <v>1116</v>
      </c>
      <c r="B174" s="7" t="s">
        <v>1071</v>
      </c>
      <c r="C174" s="7" t="s">
        <v>1048</v>
      </c>
      <c r="D174" s="7" t="s">
        <v>1093</v>
      </c>
      <c r="E174" s="7" t="s">
        <v>1095</v>
      </c>
      <c r="F174" s="7"/>
      <c r="G174" s="10" t="n">
        <v>300000000</v>
      </c>
      <c r="H174" s="11" t="n">
        <v>-0.63</v>
      </c>
      <c r="I174" s="11" t="n">
        <v>0.67</v>
      </c>
      <c r="J174" s="11" t="n">
        <v>0.67</v>
      </c>
      <c r="K174" s="11" t="n">
        <v>0</v>
      </c>
      <c r="L174" s="11" t="n">
        <v>0</v>
      </c>
      <c r="M174" s="11" t="n">
        <v>0</v>
      </c>
      <c r="N174" s="12" t="n">
        <v>0.007326</v>
      </c>
    </row>
    <row r="175" customFormat="false" ht="15" hidden="false" customHeight="false" outlineLevel="0" collapsed="false">
      <c r="A175" s="7" t="s">
        <v>1117</v>
      </c>
      <c r="B175" s="7" t="s">
        <v>1055</v>
      </c>
      <c r="C175" s="7" t="s">
        <v>1048</v>
      </c>
      <c r="D175" s="7" t="s">
        <v>1118</v>
      </c>
      <c r="E175" s="7" t="s">
        <v>1119</v>
      </c>
      <c r="F175" s="7"/>
      <c r="G175" s="10" t="n">
        <v>0</v>
      </c>
      <c r="H175" s="11" t="n">
        <v>0</v>
      </c>
      <c r="I175" s="11" t="n">
        <v>0.11</v>
      </c>
      <c r="J175" s="11" t="n">
        <v>0.11</v>
      </c>
      <c r="K175" s="11" t="n">
        <v>3.5</v>
      </c>
      <c r="L175" s="11" t="n">
        <v>4.91</v>
      </c>
      <c r="M175" s="11" t="n">
        <v>12.94</v>
      </c>
      <c r="N175" s="12" t="n">
        <v>15.154937</v>
      </c>
    </row>
    <row r="176" customFormat="false" ht="15" hidden="false" customHeight="false" outlineLevel="0" collapsed="false">
      <c r="A176" s="7" t="s">
        <v>1117</v>
      </c>
      <c r="B176" s="7" t="s">
        <v>1056</v>
      </c>
      <c r="C176" s="7" t="s">
        <v>1048</v>
      </c>
      <c r="D176" s="7" t="s">
        <v>1118</v>
      </c>
      <c r="E176" s="7" t="s">
        <v>1119</v>
      </c>
      <c r="F176" s="7"/>
      <c r="G176" s="10" t="n">
        <v>1000000</v>
      </c>
      <c r="H176" s="11" t="n">
        <v>0</v>
      </c>
      <c r="I176" s="11" t="n">
        <v>0.12</v>
      </c>
      <c r="J176" s="11" t="n">
        <v>0.12</v>
      </c>
      <c r="K176" s="11" t="n">
        <v>3.73</v>
      </c>
      <c r="L176" s="11" t="n">
        <v>5.21</v>
      </c>
      <c r="M176" s="11" t="n">
        <v>13.59</v>
      </c>
      <c r="N176" s="12" t="n">
        <v>15.474221</v>
      </c>
    </row>
    <row r="177" customFormat="false" ht="15" hidden="false" customHeight="false" outlineLevel="0" collapsed="false">
      <c r="A177" s="7" t="s">
        <v>1117</v>
      </c>
      <c r="B177" s="7" t="s">
        <v>1057</v>
      </c>
      <c r="C177" s="7" t="s">
        <v>1048</v>
      </c>
      <c r="D177" s="7" t="s">
        <v>1118</v>
      </c>
      <c r="E177" s="7" t="s">
        <v>1119</v>
      </c>
      <c r="F177" s="7"/>
      <c r="G177" s="10" t="n">
        <v>20000000</v>
      </c>
      <c r="H177" s="11" t="n">
        <v>0</v>
      </c>
      <c r="I177" s="11" t="n">
        <v>0.12</v>
      </c>
      <c r="J177" s="11" t="n">
        <v>0.12</v>
      </c>
      <c r="K177" s="11" t="n">
        <v>3.96</v>
      </c>
      <c r="L177" s="11" t="n">
        <v>5.52</v>
      </c>
      <c r="M177" s="11" t="n">
        <v>14.25</v>
      </c>
      <c r="N177" s="12" t="n">
        <v>15.800227</v>
      </c>
    </row>
    <row r="178" customFormat="false" ht="15" hidden="false" customHeight="false" outlineLevel="0" collapsed="false">
      <c r="A178" s="7" t="s">
        <v>1117</v>
      </c>
      <c r="B178" s="7" t="s">
        <v>1058</v>
      </c>
      <c r="C178" s="7" t="s">
        <v>1048</v>
      </c>
      <c r="D178" s="7" t="s">
        <v>1118</v>
      </c>
      <c r="E178" s="7" t="s">
        <v>1119</v>
      </c>
      <c r="F178" s="7"/>
      <c r="G178" s="10" t="n">
        <v>150000000</v>
      </c>
      <c r="H178" s="11" t="n">
        <v>0</v>
      </c>
      <c r="I178" s="11" t="n">
        <v>0.13</v>
      </c>
      <c r="J178" s="11" t="n">
        <v>0.13</v>
      </c>
      <c r="K178" s="11" t="n">
        <v>4.28</v>
      </c>
      <c r="L178" s="11" t="n">
        <v>5.94</v>
      </c>
      <c r="M178" s="11" t="n">
        <v>15.19</v>
      </c>
      <c r="N178" s="12" t="n">
        <v>16.267981</v>
      </c>
    </row>
    <row r="179" customFormat="false" ht="15" hidden="false" customHeight="false" outlineLevel="0" collapsed="false">
      <c r="A179" s="7" t="s">
        <v>1117</v>
      </c>
      <c r="B179" s="7" t="s">
        <v>1071</v>
      </c>
      <c r="C179" s="7" t="s">
        <v>1048</v>
      </c>
      <c r="D179" s="7" t="s">
        <v>1118</v>
      </c>
      <c r="E179" s="7" t="s">
        <v>1119</v>
      </c>
      <c r="F179" s="7"/>
      <c r="G179" s="10" t="n">
        <v>300000000</v>
      </c>
      <c r="H179" s="11" t="n">
        <v>0</v>
      </c>
      <c r="I179" s="11" t="n">
        <v>0.14</v>
      </c>
      <c r="J179" s="11" t="n">
        <v>0.14</v>
      </c>
      <c r="K179" s="11" t="n">
        <v>4.75</v>
      </c>
      <c r="L179" s="11" t="n">
        <v>6.56</v>
      </c>
      <c r="M179" s="11" t="n">
        <v>16.53</v>
      </c>
      <c r="N179" s="12" t="n">
        <v>16.89287</v>
      </c>
    </row>
    <row r="180" customFormat="false" ht="15" hidden="false" customHeight="false" outlineLevel="0" collapsed="false">
      <c r="A180" s="7" t="s">
        <v>1120</v>
      </c>
      <c r="B180" s="7" t="s">
        <v>1055</v>
      </c>
      <c r="C180" s="7" t="s">
        <v>1048</v>
      </c>
      <c r="D180" s="7" t="s">
        <v>1118</v>
      </c>
      <c r="E180" s="7" t="s">
        <v>1119</v>
      </c>
      <c r="F180" s="7"/>
      <c r="G180" s="10" t="n">
        <v>0</v>
      </c>
      <c r="H180" s="11" t="n">
        <v>-0.16</v>
      </c>
      <c r="I180" s="11" t="n">
        <v>0.25</v>
      </c>
      <c r="J180" s="11" t="n">
        <v>0.25</v>
      </c>
      <c r="K180" s="11" t="n">
        <v>4.08</v>
      </c>
      <c r="L180" s="11" t="n">
        <v>5.82</v>
      </c>
      <c r="M180" s="11" t="n">
        <v>15.12</v>
      </c>
      <c r="N180" s="12" t="n">
        <v>15.895936</v>
      </c>
    </row>
    <row r="181" customFormat="false" ht="15" hidden="false" customHeight="false" outlineLevel="0" collapsed="false">
      <c r="A181" s="7" t="s">
        <v>1120</v>
      </c>
      <c r="B181" s="7" t="s">
        <v>1056</v>
      </c>
      <c r="C181" s="7" t="s">
        <v>1048</v>
      </c>
      <c r="D181" s="7" t="s">
        <v>1118</v>
      </c>
      <c r="E181" s="7" t="s">
        <v>1119</v>
      </c>
      <c r="F181" s="7"/>
      <c r="G181" s="10" t="n">
        <v>1000000</v>
      </c>
      <c r="H181" s="11" t="n">
        <v>-0.16</v>
      </c>
      <c r="I181" s="11" t="n">
        <v>0.26</v>
      </c>
      <c r="J181" s="11" t="n">
        <v>0.26</v>
      </c>
      <c r="K181" s="11" t="n">
        <v>4.36</v>
      </c>
      <c r="L181" s="11" t="n">
        <v>6.19</v>
      </c>
      <c r="M181" s="11" t="n">
        <v>15.92</v>
      </c>
      <c r="N181" s="12" t="n">
        <v>16.382098</v>
      </c>
    </row>
    <row r="182" customFormat="false" ht="15" hidden="false" customHeight="false" outlineLevel="0" collapsed="false">
      <c r="A182" s="7" t="s">
        <v>1120</v>
      </c>
      <c r="B182" s="7" t="s">
        <v>1057</v>
      </c>
      <c r="C182" s="7" t="s">
        <v>1048</v>
      </c>
      <c r="D182" s="7" t="s">
        <v>1118</v>
      </c>
      <c r="E182" s="7" t="s">
        <v>1119</v>
      </c>
      <c r="F182" s="7"/>
      <c r="G182" s="10" t="n">
        <v>20000000</v>
      </c>
      <c r="H182" s="11" t="n">
        <v>-0.16</v>
      </c>
      <c r="I182" s="11" t="n">
        <v>0.26</v>
      </c>
      <c r="J182" s="11" t="n">
        <v>0.26</v>
      </c>
      <c r="K182" s="11" t="n">
        <v>4.64</v>
      </c>
      <c r="L182" s="11" t="n">
        <v>6.56</v>
      </c>
      <c r="M182" s="11" t="n">
        <v>16.73</v>
      </c>
      <c r="N182" s="12" t="n">
        <v>16.879334</v>
      </c>
    </row>
    <row r="183" customFormat="false" ht="15" hidden="false" customHeight="false" outlineLevel="0" collapsed="false">
      <c r="A183" s="7" t="s">
        <v>1120</v>
      </c>
      <c r="B183" s="7" t="s">
        <v>1058</v>
      </c>
      <c r="C183" s="7" t="s">
        <v>1048</v>
      </c>
      <c r="D183" s="7" t="s">
        <v>1118</v>
      </c>
      <c r="E183" s="7" t="s">
        <v>1119</v>
      </c>
      <c r="F183" s="7"/>
      <c r="G183" s="10" t="n">
        <v>150000000</v>
      </c>
      <c r="H183" s="11" t="n">
        <v>-0.16</v>
      </c>
      <c r="I183" s="11" t="n">
        <v>0.27</v>
      </c>
      <c r="J183" s="11" t="n">
        <v>0.27</v>
      </c>
      <c r="K183" s="11" t="n">
        <v>5.01</v>
      </c>
      <c r="L183" s="11" t="n">
        <v>7.05</v>
      </c>
      <c r="M183" s="11" t="n">
        <v>17.82</v>
      </c>
      <c r="N183" s="12" t="n">
        <v>17.565067</v>
      </c>
    </row>
    <row r="184" customFormat="false" ht="15" hidden="false" customHeight="false" outlineLevel="0" collapsed="false">
      <c r="A184" s="7" t="s">
        <v>1120</v>
      </c>
      <c r="B184" s="7" t="s">
        <v>1071</v>
      </c>
      <c r="C184" s="7" t="s">
        <v>1048</v>
      </c>
      <c r="D184" s="7" t="s">
        <v>1118</v>
      </c>
      <c r="E184" s="7" t="s">
        <v>1119</v>
      </c>
      <c r="F184" s="7"/>
      <c r="G184" s="10" t="n">
        <v>300000000</v>
      </c>
      <c r="H184" s="11" t="n">
        <v>-0.16</v>
      </c>
      <c r="I184" s="11" t="n">
        <v>0.28</v>
      </c>
      <c r="J184" s="11" t="n">
        <v>0.28</v>
      </c>
      <c r="K184" s="11" t="n">
        <v>0</v>
      </c>
      <c r="L184" s="11" t="n">
        <v>0</v>
      </c>
      <c r="M184" s="11" t="n">
        <v>5.52</v>
      </c>
      <c r="N184" s="12" t="n">
        <v>10.523675</v>
      </c>
    </row>
    <row r="185" customFormat="false" ht="15" hidden="false" customHeight="false" outlineLevel="0" collapsed="false">
      <c r="A185" s="7" t="s">
        <v>1121</v>
      </c>
      <c r="B185" s="7" t="s">
        <v>1055</v>
      </c>
      <c r="C185" s="7" t="s">
        <v>1048</v>
      </c>
      <c r="D185" s="7" t="s">
        <v>1118</v>
      </c>
      <c r="E185" s="7" t="s">
        <v>1119</v>
      </c>
      <c r="F185" s="7"/>
      <c r="G185" s="10" t="n">
        <v>0</v>
      </c>
      <c r="H185" s="11" t="n">
        <v>-0.28</v>
      </c>
      <c r="I185" s="11" t="n">
        <v>0.41</v>
      </c>
      <c r="J185" s="11" t="n">
        <v>0.41</v>
      </c>
      <c r="K185" s="11" t="n">
        <v>4.89</v>
      </c>
      <c r="L185" s="11" t="n">
        <v>6.87</v>
      </c>
      <c r="M185" s="11" t="n">
        <v>17.13</v>
      </c>
      <c r="N185" s="12" t="n">
        <v>15.746501</v>
      </c>
    </row>
    <row r="186" customFormat="false" ht="15" hidden="false" customHeight="false" outlineLevel="0" collapsed="false">
      <c r="A186" s="7" t="s">
        <v>1121</v>
      </c>
      <c r="B186" s="7" t="s">
        <v>1056</v>
      </c>
      <c r="C186" s="7" t="s">
        <v>1048</v>
      </c>
      <c r="D186" s="7" t="s">
        <v>1118</v>
      </c>
      <c r="E186" s="7" t="s">
        <v>1119</v>
      </c>
      <c r="F186" s="7"/>
      <c r="G186" s="10" t="n">
        <v>1000000</v>
      </c>
      <c r="H186" s="11" t="n">
        <v>-0.27</v>
      </c>
      <c r="I186" s="11" t="n">
        <v>0.42</v>
      </c>
      <c r="J186" s="11" t="n">
        <v>0.42</v>
      </c>
      <c r="K186" s="11" t="n">
        <v>5.26</v>
      </c>
      <c r="L186" s="11" t="n">
        <v>7.37</v>
      </c>
      <c r="M186" s="11" t="n">
        <v>18.22</v>
      </c>
      <c r="N186" s="12" t="n">
        <v>16.388178</v>
      </c>
    </row>
    <row r="187" customFormat="false" ht="15" hidden="false" customHeight="false" outlineLevel="0" collapsed="false">
      <c r="A187" s="7" t="s">
        <v>1121</v>
      </c>
      <c r="B187" s="7" t="s">
        <v>1057</v>
      </c>
      <c r="C187" s="7" t="s">
        <v>1048</v>
      </c>
      <c r="D187" s="7" t="s">
        <v>1118</v>
      </c>
      <c r="E187" s="7" t="s">
        <v>1119</v>
      </c>
      <c r="F187" s="7"/>
      <c r="G187" s="10" t="n">
        <v>20000000</v>
      </c>
      <c r="H187" s="11" t="n">
        <v>-0.27</v>
      </c>
      <c r="I187" s="11" t="n">
        <v>0.42</v>
      </c>
      <c r="J187" s="11" t="n">
        <v>0.42</v>
      </c>
      <c r="K187" s="11" t="n">
        <v>5.54</v>
      </c>
      <c r="L187" s="11" t="n">
        <v>7.74</v>
      </c>
      <c r="M187" s="11" t="n">
        <v>19.05</v>
      </c>
      <c r="N187" s="12" t="n">
        <v>16.886517</v>
      </c>
    </row>
    <row r="188" customFormat="false" ht="15" hidden="false" customHeight="false" outlineLevel="0" collapsed="false">
      <c r="A188" s="7" t="s">
        <v>1121</v>
      </c>
      <c r="B188" s="7" t="s">
        <v>1058</v>
      </c>
      <c r="C188" s="7" t="s">
        <v>1048</v>
      </c>
      <c r="D188" s="7" t="s">
        <v>1118</v>
      </c>
      <c r="E188" s="7" t="s">
        <v>1119</v>
      </c>
      <c r="F188" s="7"/>
      <c r="G188" s="10" t="n">
        <v>150000000</v>
      </c>
      <c r="H188" s="11" t="n">
        <v>-0.27</v>
      </c>
      <c r="I188" s="11" t="n">
        <v>0.43</v>
      </c>
      <c r="J188" s="11" t="n">
        <v>0.43</v>
      </c>
      <c r="K188" s="11" t="n">
        <v>5.92</v>
      </c>
      <c r="L188" s="11" t="n">
        <v>7.7</v>
      </c>
      <c r="M188" s="11" t="n">
        <v>19.14</v>
      </c>
      <c r="N188" s="12" t="n">
        <v>17.089329</v>
      </c>
    </row>
    <row r="189" customFormat="false" ht="15" hidden="false" customHeight="false" outlineLevel="0" collapsed="false">
      <c r="A189" s="7" t="s">
        <v>1121</v>
      </c>
      <c r="B189" s="7" t="s">
        <v>1071</v>
      </c>
      <c r="C189" s="7" t="s">
        <v>1048</v>
      </c>
      <c r="D189" s="7" t="s">
        <v>1118</v>
      </c>
      <c r="E189" s="7" t="s">
        <v>1119</v>
      </c>
      <c r="F189" s="7"/>
      <c r="G189" s="10" t="n">
        <v>300000000</v>
      </c>
      <c r="H189" s="11" t="n">
        <v>0</v>
      </c>
      <c r="I189" s="11" t="n">
        <v>0</v>
      </c>
      <c r="J189" s="11" t="n">
        <v>0</v>
      </c>
      <c r="K189" s="11" t="n">
        <v>0</v>
      </c>
      <c r="L189" s="11" t="n">
        <v>0</v>
      </c>
      <c r="M189" s="11" t="n">
        <v>0</v>
      </c>
      <c r="N189" s="12" t="n">
        <v>10.58342</v>
      </c>
    </row>
    <row r="190" customFormat="false" ht="15" hidden="false" customHeight="false" outlineLevel="0" collapsed="false">
      <c r="A190" s="7" t="s">
        <v>1122</v>
      </c>
      <c r="B190" s="7" t="s">
        <v>1055</v>
      </c>
      <c r="C190" s="7" t="s">
        <v>1048</v>
      </c>
      <c r="D190" s="7" t="s">
        <v>1118</v>
      </c>
      <c r="E190" s="7" t="s">
        <v>1119</v>
      </c>
      <c r="F190" s="7"/>
      <c r="G190" s="10" t="n">
        <v>0</v>
      </c>
      <c r="H190" s="11" t="n">
        <v>-0.41</v>
      </c>
      <c r="I190" s="11" t="n">
        <v>0.62</v>
      </c>
      <c r="J190" s="11" t="n">
        <v>0.62</v>
      </c>
      <c r="K190" s="11" t="n">
        <v>6.66</v>
      </c>
      <c r="L190" s="11" t="n">
        <v>9</v>
      </c>
      <c r="M190" s="11" t="n">
        <v>20.69</v>
      </c>
      <c r="N190" s="12" t="n">
        <v>16.186488</v>
      </c>
    </row>
    <row r="191" customFormat="false" ht="15" hidden="false" customHeight="false" outlineLevel="0" collapsed="false">
      <c r="A191" s="7" t="s">
        <v>1122</v>
      </c>
      <c r="B191" s="7" t="s">
        <v>1056</v>
      </c>
      <c r="C191" s="7" t="s">
        <v>1048</v>
      </c>
      <c r="D191" s="7" t="s">
        <v>1118</v>
      </c>
      <c r="E191" s="7" t="s">
        <v>1119</v>
      </c>
      <c r="F191" s="7"/>
      <c r="G191" s="10" t="n">
        <v>1000000</v>
      </c>
      <c r="H191" s="11" t="n">
        <v>-0.41</v>
      </c>
      <c r="I191" s="11" t="n">
        <v>0.63</v>
      </c>
      <c r="J191" s="11" t="n">
        <v>0.63</v>
      </c>
      <c r="K191" s="11" t="n">
        <v>7.04</v>
      </c>
      <c r="L191" s="11" t="n">
        <v>9.51</v>
      </c>
      <c r="M191" s="11" t="n">
        <v>21.81</v>
      </c>
      <c r="N191" s="12" t="n">
        <v>16.844578</v>
      </c>
    </row>
    <row r="192" customFormat="false" ht="15" hidden="false" customHeight="false" outlineLevel="0" collapsed="false">
      <c r="A192" s="7" t="s">
        <v>1122</v>
      </c>
      <c r="B192" s="7" t="s">
        <v>1057</v>
      </c>
      <c r="C192" s="7" t="s">
        <v>1048</v>
      </c>
      <c r="D192" s="7" t="s">
        <v>1118</v>
      </c>
      <c r="E192" s="7" t="s">
        <v>1119</v>
      </c>
      <c r="F192" s="7"/>
      <c r="G192" s="10" t="n">
        <v>20000000</v>
      </c>
      <c r="H192" s="11" t="n">
        <v>-0.41</v>
      </c>
      <c r="I192" s="11" t="n">
        <v>0.63</v>
      </c>
      <c r="J192" s="11" t="n">
        <v>0.63</v>
      </c>
      <c r="K192" s="11" t="n">
        <v>7.43</v>
      </c>
      <c r="L192" s="11" t="n">
        <v>10.02</v>
      </c>
      <c r="M192" s="11" t="n">
        <v>22.95</v>
      </c>
      <c r="N192" s="12" t="n">
        <v>17.530714</v>
      </c>
    </row>
    <row r="193" customFormat="false" ht="15" hidden="false" customHeight="false" outlineLevel="0" collapsed="false">
      <c r="A193" s="7" t="s">
        <v>1122</v>
      </c>
      <c r="B193" s="7" t="s">
        <v>1058</v>
      </c>
      <c r="C193" s="7" t="s">
        <v>1048</v>
      </c>
      <c r="D193" s="7" t="s">
        <v>1118</v>
      </c>
      <c r="E193" s="7" t="s">
        <v>1119</v>
      </c>
      <c r="F193" s="7"/>
      <c r="G193" s="10" t="n">
        <v>150000000</v>
      </c>
      <c r="H193" s="11" t="n">
        <v>-0.41</v>
      </c>
      <c r="I193" s="11" t="n">
        <v>0.64</v>
      </c>
      <c r="J193" s="11" t="n">
        <v>0.64</v>
      </c>
      <c r="K193" s="11" t="n">
        <v>7.81</v>
      </c>
      <c r="L193" s="11" t="n">
        <v>10.53</v>
      </c>
      <c r="M193" s="11" t="n">
        <v>24.1</v>
      </c>
      <c r="N193" s="12" t="n">
        <v>18.232352</v>
      </c>
    </row>
    <row r="194" customFormat="false" ht="15" hidden="false" customHeight="false" outlineLevel="0" collapsed="false">
      <c r="A194" s="7" t="s">
        <v>1122</v>
      </c>
      <c r="B194" s="7" t="s">
        <v>1071</v>
      </c>
      <c r="C194" s="7" t="s">
        <v>1048</v>
      </c>
      <c r="D194" s="7" t="s">
        <v>1118</v>
      </c>
      <c r="E194" s="7" t="s">
        <v>1119</v>
      </c>
      <c r="F194" s="7"/>
      <c r="G194" s="10" t="n">
        <v>300000000</v>
      </c>
      <c r="H194" s="11" t="n">
        <v>0</v>
      </c>
      <c r="I194" s="11" t="n">
        <v>0</v>
      </c>
      <c r="J194" s="11" t="n">
        <v>0</v>
      </c>
      <c r="K194" s="11" t="n">
        <v>0</v>
      </c>
      <c r="L194" s="11" t="n">
        <v>0</v>
      </c>
      <c r="M194" s="11" t="n">
        <v>0</v>
      </c>
      <c r="N194" s="12" t="n">
        <v>10.092178</v>
      </c>
    </row>
    <row r="195" customFormat="false" ht="15" hidden="false" customHeight="false" outlineLevel="0" collapsed="false">
      <c r="A195" s="7" t="s">
        <v>1123</v>
      </c>
      <c r="B195" s="7" t="s">
        <v>1055</v>
      </c>
      <c r="C195" s="7" t="s">
        <v>1048</v>
      </c>
      <c r="D195" s="7" t="s">
        <v>1118</v>
      </c>
      <c r="E195" s="7" t="s">
        <v>1124</v>
      </c>
      <c r="F195" s="7"/>
      <c r="G195" s="10" t="n">
        <v>0</v>
      </c>
      <c r="H195" s="11" t="n">
        <v>0.08</v>
      </c>
      <c r="I195" s="11" t="n">
        <v>-0.45</v>
      </c>
      <c r="J195" s="11" t="n">
        <v>-0.45</v>
      </c>
      <c r="K195" s="11" t="n">
        <v>1.11</v>
      </c>
      <c r="L195" s="11" t="n">
        <v>-0.45</v>
      </c>
      <c r="M195" s="11" t="n">
        <v>-2.76</v>
      </c>
      <c r="N195" s="12" t="n">
        <v>9.699947</v>
      </c>
    </row>
    <row r="196" customFormat="false" ht="15" hidden="false" customHeight="false" outlineLevel="0" collapsed="false">
      <c r="A196" s="7" t="s">
        <v>1123</v>
      </c>
      <c r="B196" s="7" t="s">
        <v>1056</v>
      </c>
      <c r="C196" s="7" t="s">
        <v>1048</v>
      </c>
      <c r="D196" s="7" t="s">
        <v>1118</v>
      </c>
      <c r="E196" s="7" t="s">
        <v>1124</v>
      </c>
      <c r="F196" s="7"/>
      <c r="G196" s="10" t="n">
        <v>1000000</v>
      </c>
      <c r="H196" s="11" t="n">
        <v>0.08</v>
      </c>
      <c r="I196" s="11" t="n">
        <v>-0.44</v>
      </c>
      <c r="J196" s="11" t="n">
        <v>-0.44</v>
      </c>
      <c r="K196" s="11" t="n">
        <v>1.34</v>
      </c>
      <c r="L196" s="11" t="n">
        <v>-0.16</v>
      </c>
      <c r="M196" s="11" t="n">
        <v>-2.2</v>
      </c>
      <c r="N196" s="12" t="n">
        <v>10.158055</v>
      </c>
    </row>
    <row r="197" customFormat="false" ht="15" hidden="false" customHeight="false" outlineLevel="0" collapsed="false">
      <c r="A197" s="7" t="s">
        <v>1123</v>
      </c>
      <c r="B197" s="7" t="s">
        <v>1057</v>
      </c>
      <c r="C197" s="7" t="s">
        <v>1048</v>
      </c>
      <c r="D197" s="7" t="s">
        <v>1118</v>
      </c>
      <c r="E197" s="7" t="s">
        <v>1124</v>
      </c>
      <c r="F197" s="7"/>
      <c r="G197" s="10" t="n">
        <v>20000000</v>
      </c>
      <c r="H197" s="11" t="n">
        <v>0.08</v>
      </c>
      <c r="I197" s="11" t="n">
        <v>-0.44</v>
      </c>
      <c r="J197" s="11" t="n">
        <v>-0.44</v>
      </c>
      <c r="K197" s="11" t="n">
        <v>1.56</v>
      </c>
      <c r="L197" s="11" t="n">
        <v>0.13</v>
      </c>
      <c r="M197" s="11" t="n">
        <v>-1.63</v>
      </c>
      <c r="N197" s="12" t="n">
        <v>10.334738</v>
      </c>
    </row>
    <row r="198" customFormat="false" ht="15" hidden="false" customHeight="false" outlineLevel="0" collapsed="false">
      <c r="A198" s="7" t="s">
        <v>1123</v>
      </c>
      <c r="B198" s="7" t="s">
        <v>1058</v>
      </c>
      <c r="C198" s="7" t="s">
        <v>1048</v>
      </c>
      <c r="D198" s="7" t="s">
        <v>1118</v>
      </c>
      <c r="E198" s="7" t="s">
        <v>1124</v>
      </c>
      <c r="F198" s="7"/>
      <c r="G198" s="10" t="n">
        <v>150000000</v>
      </c>
      <c r="H198" s="11" t="n">
        <v>0.08</v>
      </c>
      <c r="I198" s="11" t="n">
        <v>-0.43</v>
      </c>
      <c r="J198" s="11" t="n">
        <v>-0.43</v>
      </c>
      <c r="K198" s="11" t="n">
        <v>1.79</v>
      </c>
      <c r="L198" s="11" t="n">
        <v>0.42</v>
      </c>
      <c r="M198" s="11" t="n">
        <v>-1.06</v>
      </c>
      <c r="N198" s="12" t="n">
        <v>10.334581</v>
      </c>
    </row>
    <row r="199" customFormat="false" ht="15" hidden="false" customHeight="false" outlineLevel="0" collapsed="false">
      <c r="A199" s="7" t="s">
        <v>1123</v>
      </c>
      <c r="B199" s="7" t="s">
        <v>1071</v>
      </c>
      <c r="C199" s="7" t="s">
        <v>1048</v>
      </c>
      <c r="D199" s="7" t="s">
        <v>1118</v>
      </c>
      <c r="E199" s="7" t="s">
        <v>1124</v>
      </c>
      <c r="F199" s="7"/>
      <c r="G199" s="10" t="n">
        <v>300000000</v>
      </c>
      <c r="H199" s="11" t="n">
        <v>0.08</v>
      </c>
      <c r="I199" s="11" t="n">
        <v>-0.42</v>
      </c>
      <c r="J199" s="11" t="n">
        <v>-0.42</v>
      </c>
      <c r="K199" s="11" t="n">
        <v>2.15</v>
      </c>
      <c r="L199" s="11" t="n">
        <v>0.88</v>
      </c>
      <c r="M199" s="11" t="n">
        <v>-0.14</v>
      </c>
      <c r="N199" s="12" t="n">
        <v>10.677827</v>
      </c>
    </row>
    <row r="200" customFormat="false" ht="15" hidden="false" customHeight="false" outlineLevel="0" collapsed="false">
      <c r="A200" s="7" t="s">
        <v>1125</v>
      </c>
      <c r="B200" s="7" t="s">
        <v>1055</v>
      </c>
      <c r="C200" s="7" t="s">
        <v>1048</v>
      </c>
      <c r="D200" s="7" t="s">
        <v>1118</v>
      </c>
      <c r="E200" s="7" t="s">
        <v>1124</v>
      </c>
      <c r="F200" s="7"/>
      <c r="G200" s="10" t="n">
        <v>0</v>
      </c>
      <c r="H200" s="11" t="n">
        <v>-0.06</v>
      </c>
      <c r="I200" s="11" t="n">
        <v>-0.35</v>
      </c>
      <c r="J200" s="11" t="n">
        <v>-0.35</v>
      </c>
      <c r="K200" s="11" t="n">
        <v>1.64</v>
      </c>
      <c r="L200" s="11" t="n">
        <v>0.32</v>
      </c>
      <c r="M200" s="11" t="n">
        <v>-0.92</v>
      </c>
      <c r="N200" s="12" t="n">
        <v>9.992308</v>
      </c>
    </row>
    <row r="201" customFormat="false" ht="15" hidden="false" customHeight="false" outlineLevel="0" collapsed="false">
      <c r="A201" s="7" t="s">
        <v>1125</v>
      </c>
      <c r="B201" s="7" t="s">
        <v>1056</v>
      </c>
      <c r="C201" s="7" t="s">
        <v>1048</v>
      </c>
      <c r="D201" s="7" t="s">
        <v>1118</v>
      </c>
      <c r="E201" s="7" t="s">
        <v>1124</v>
      </c>
      <c r="F201" s="7"/>
      <c r="G201" s="10" t="n">
        <v>1000000</v>
      </c>
      <c r="H201" s="11" t="n">
        <v>-0.06</v>
      </c>
      <c r="I201" s="11" t="n">
        <v>-0.34</v>
      </c>
      <c r="J201" s="11" t="n">
        <v>-0.34</v>
      </c>
      <c r="K201" s="11" t="n">
        <v>1.91</v>
      </c>
      <c r="L201" s="11" t="n">
        <v>0.67</v>
      </c>
      <c r="M201" s="11" t="n">
        <v>-0.23</v>
      </c>
      <c r="N201" s="12" t="n">
        <v>10.295086</v>
      </c>
    </row>
    <row r="202" customFormat="false" ht="15" hidden="false" customHeight="false" outlineLevel="0" collapsed="false">
      <c r="A202" s="7" t="s">
        <v>1125</v>
      </c>
      <c r="B202" s="7" t="s">
        <v>1057</v>
      </c>
      <c r="C202" s="7" t="s">
        <v>1048</v>
      </c>
      <c r="D202" s="7" t="s">
        <v>1118</v>
      </c>
      <c r="E202" s="7" t="s">
        <v>1124</v>
      </c>
      <c r="F202" s="7"/>
      <c r="G202" s="10" t="n">
        <v>20000000</v>
      </c>
      <c r="H202" s="11" t="n">
        <v>-0.06</v>
      </c>
      <c r="I202" s="11" t="n">
        <v>-0.33</v>
      </c>
      <c r="J202" s="11" t="n">
        <v>-0.33</v>
      </c>
      <c r="K202" s="11" t="n">
        <v>2.18</v>
      </c>
      <c r="L202" s="11" t="n">
        <v>1.02</v>
      </c>
      <c r="M202" s="11" t="n">
        <v>0.47</v>
      </c>
      <c r="N202" s="12" t="n">
        <v>10.610989</v>
      </c>
    </row>
    <row r="203" customFormat="false" ht="15" hidden="false" customHeight="false" outlineLevel="0" collapsed="false">
      <c r="A203" s="7" t="s">
        <v>1125</v>
      </c>
      <c r="B203" s="7" t="s">
        <v>1058</v>
      </c>
      <c r="C203" s="7" t="s">
        <v>1048</v>
      </c>
      <c r="D203" s="7" t="s">
        <v>1118</v>
      </c>
      <c r="E203" s="7" t="s">
        <v>1124</v>
      </c>
      <c r="F203" s="7"/>
      <c r="G203" s="10" t="n">
        <v>150000000</v>
      </c>
      <c r="H203" s="11" t="n">
        <v>-0.06</v>
      </c>
      <c r="I203" s="11" t="n">
        <v>-0.33</v>
      </c>
      <c r="J203" s="11" t="n">
        <v>-0.33</v>
      </c>
      <c r="K203" s="11" t="n">
        <v>2.45</v>
      </c>
      <c r="L203" s="11" t="n">
        <v>1.37</v>
      </c>
      <c r="M203" s="11" t="n">
        <v>1.17</v>
      </c>
      <c r="N203" s="12" t="n">
        <v>11.10416</v>
      </c>
    </row>
    <row r="204" customFormat="false" ht="15" hidden="false" customHeight="false" outlineLevel="0" collapsed="false">
      <c r="A204" s="7" t="s">
        <v>1125</v>
      </c>
      <c r="B204" s="7" t="s">
        <v>1071</v>
      </c>
      <c r="C204" s="7" t="s">
        <v>1048</v>
      </c>
      <c r="D204" s="7" t="s">
        <v>1118</v>
      </c>
      <c r="E204" s="7" t="s">
        <v>1124</v>
      </c>
      <c r="F204" s="7"/>
      <c r="G204" s="10" t="n">
        <v>300000000</v>
      </c>
      <c r="H204" s="11" t="n">
        <v>-0.06</v>
      </c>
      <c r="I204" s="11" t="n">
        <v>-0.32</v>
      </c>
      <c r="J204" s="11" t="n">
        <v>-0.32</v>
      </c>
      <c r="K204" s="11" t="n">
        <v>2.64</v>
      </c>
      <c r="L204" s="11" t="n">
        <v>1.61</v>
      </c>
      <c r="M204" s="11" t="n">
        <v>1.64</v>
      </c>
      <c r="N204" s="12" t="n">
        <v>13.739179</v>
      </c>
    </row>
    <row r="205" customFormat="false" ht="15" hidden="false" customHeight="false" outlineLevel="0" collapsed="false">
      <c r="A205" s="7" t="s">
        <v>1126</v>
      </c>
      <c r="B205" s="7" t="s">
        <v>1055</v>
      </c>
      <c r="C205" s="7" t="s">
        <v>1048</v>
      </c>
      <c r="D205" s="7" t="s">
        <v>1118</v>
      </c>
      <c r="E205" s="7" t="s">
        <v>1124</v>
      </c>
      <c r="F205" s="7"/>
      <c r="G205" s="10" t="n">
        <v>0</v>
      </c>
      <c r="H205" s="11" t="n">
        <v>-0.3</v>
      </c>
      <c r="I205" s="11" t="n">
        <v>-0.19</v>
      </c>
      <c r="J205" s="11" t="n">
        <v>-0.19</v>
      </c>
      <c r="K205" s="11" t="n">
        <v>4.47</v>
      </c>
      <c r="L205" s="11" t="n">
        <v>3.57</v>
      </c>
      <c r="M205" s="11" t="n">
        <v>3.59</v>
      </c>
      <c r="N205" s="12" t="n">
        <v>10.590089</v>
      </c>
    </row>
    <row r="206" customFormat="false" ht="15" hidden="false" customHeight="false" outlineLevel="0" collapsed="false">
      <c r="A206" s="7" t="s">
        <v>1126</v>
      </c>
      <c r="B206" s="7" t="s">
        <v>1056</v>
      </c>
      <c r="C206" s="7" t="s">
        <v>1048</v>
      </c>
      <c r="D206" s="7" t="s">
        <v>1118</v>
      </c>
      <c r="E206" s="7" t="s">
        <v>1124</v>
      </c>
      <c r="F206" s="7"/>
      <c r="G206" s="10" t="n">
        <v>1000000</v>
      </c>
      <c r="H206" s="11" t="n">
        <v>-0.3</v>
      </c>
      <c r="I206" s="11" t="n">
        <v>-0.18</v>
      </c>
      <c r="J206" s="11" t="n">
        <v>-0.18</v>
      </c>
      <c r="K206" s="11" t="n">
        <v>4.84</v>
      </c>
      <c r="L206" s="11" t="n">
        <v>4.05</v>
      </c>
      <c r="M206" s="11" t="n">
        <v>4.56</v>
      </c>
      <c r="N206" s="12" t="n">
        <v>11.020579</v>
      </c>
    </row>
    <row r="207" customFormat="false" ht="15" hidden="false" customHeight="false" outlineLevel="0" collapsed="false">
      <c r="A207" s="7" t="s">
        <v>1126</v>
      </c>
      <c r="B207" s="7" t="s">
        <v>1057</v>
      </c>
      <c r="C207" s="7" t="s">
        <v>1048</v>
      </c>
      <c r="D207" s="7" t="s">
        <v>1118</v>
      </c>
      <c r="E207" s="7" t="s">
        <v>1124</v>
      </c>
      <c r="F207" s="7"/>
      <c r="G207" s="10" t="n">
        <v>20000000</v>
      </c>
      <c r="H207" s="11" t="n">
        <v>-0.3</v>
      </c>
      <c r="I207" s="11" t="n">
        <v>-0.17</v>
      </c>
      <c r="J207" s="11" t="n">
        <v>-0.17</v>
      </c>
      <c r="K207" s="11" t="n">
        <v>5.12</v>
      </c>
      <c r="L207" s="11" t="n">
        <v>4.41</v>
      </c>
      <c r="M207" s="11" t="n">
        <v>5.29</v>
      </c>
      <c r="N207" s="12" t="n">
        <v>11.362601</v>
      </c>
    </row>
    <row r="208" customFormat="false" ht="15" hidden="false" customHeight="false" outlineLevel="0" collapsed="false">
      <c r="A208" s="7" t="s">
        <v>1126</v>
      </c>
      <c r="B208" s="7" t="s">
        <v>1058</v>
      </c>
      <c r="C208" s="7" t="s">
        <v>1048</v>
      </c>
      <c r="D208" s="7" t="s">
        <v>1118</v>
      </c>
      <c r="E208" s="7" t="s">
        <v>1124</v>
      </c>
      <c r="F208" s="7"/>
      <c r="G208" s="10" t="n">
        <v>150000000</v>
      </c>
      <c r="H208" s="11" t="n">
        <v>0</v>
      </c>
      <c r="I208" s="11" t="n">
        <v>0</v>
      </c>
      <c r="J208" s="11" t="n">
        <v>0</v>
      </c>
      <c r="K208" s="11" t="n">
        <v>0</v>
      </c>
      <c r="L208" s="11" t="n">
        <v>0</v>
      </c>
      <c r="M208" s="11" t="n">
        <v>0</v>
      </c>
      <c r="N208" s="12" t="n">
        <v>11.666098</v>
      </c>
    </row>
    <row r="209" customFormat="false" ht="15" hidden="false" customHeight="false" outlineLevel="0" collapsed="false">
      <c r="A209" s="7" t="s">
        <v>1126</v>
      </c>
      <c r="B209" s="7" t="s">
        <v>1071</v>
      </c>
      <c r="C209" s="7" t="s">
        <v>1048</v>
      </c>
      <c r="D209" s="7" t="s">
        <v>1118</v>
      </c>
      <c r="E209" s="7" t="s">
        <v>1124</v>
      </c>
      <c r="F209" s="7"/>
      <c r="G209" s="10" t="n">
        <v>300000000</v>
      </c>
      <c r="H209" s="11" t="n">
        <v>0</v>
      </c>
      <c r="I209" s="11" t="n">
        <v>0</v>
      </c>
      <c r="J209" s="11" t="n">
        <v>0</v>
      </c>
      <c r="K209" s="11" t="n">
        <v>0</v>
      </c>
      <c r="L209" s="11" t="n">
        <v>0</v>
      </c>
      <c r="M209" s="11" t="n">
        <v>0</v>
      </c>
      <c r="N209" s="12" t="n">
        <v>9.891824</v>
      </c>
    </row>
    <row r="210" customFormat="false" ht="15" hidden="false" customHeight="false" outlineLevel="0" collapsed="false">
      <c r="A210" s="7" t="s">
        <v>1127</v>
      </c>
      <c r="B210" s="7" t="s">
        <v>1055</v>
      </c>
      <c r="C210" s="7" t="s">
        <v>1048</v>
      </c>
      <c r="D210" s="7" t="s">
        <v>1118</v>
      </c>
      <c r="E210" s="7" t="s">
        <v>1124</v>
      </c>
      <c r="F210" s="7"/>
      <c r="G210" s="10" t="n">
        <v>0</v>
      </c>
      <c r="H210" s="11" t="n">
        <v>-0.42</v>
      </c>
      <c r="I210" s="11" t="n">
        <v>-0.08</v>
      </c>
      <c r="J210" s="11" t="n">
        <v>-0.08</v>
      </c>
      <c r="K210" s="11" t="n">
        <v>6.4</v>
      </c>
      <c r="L210" s="11" t="n">
        <v>5.72</v>
      </c>
      <c r="M210" s="11" t="n">
        <v>7.09</v>
      </c>
      <c r="N210" s="12" t="n">
        <v>11.154967</v>
      </c>
    </row>
    <row r="211" customFormat="false" ht="15" hidden="false" customHeight="false" outlineLevel="0" collapsed="false">
      <c r="A211" s="7" t="s">
        <v>1127</v>
      </c>
      <c r="B211" s="7" t="s">
        <v>1056</v>
      </c>
      <c r="C211" s="7" t="s">
        <v>1048</v>
      </c>
      <c r="D211" s="7" t="s">
        <v>1118</v>
      </c>
      <c r="E211" s="7" t="s">
        <v>1124</v>
      </c>
      <c r="F211" s="7"/>
      <c r="G211" s="10" t="n">
        <v>1000000</v>
      </c>
      <c r="H211" s="11" t="n">
        <v>-0.42</v>
      </c>
      <c r="I211" s="11" t="n">
        <v>-0.07</v>
      </c>
      <c r="J211" s="11" t="n">
        <v>-0.07</v>
      </c>
      <c r="K211" s="11" t="n">
        <v>6.78</v>
      </c>
      <c r="L211" s="11" t="n">
        <v>6.21</v>
      </c>
      <c r="M211" s="11" t="n">
        <v>8.08</v>
      </c>
      <c r="N211" s="12" t="n">
        <v>11.603402</v>
      </c>
    </row>
    <row r="212" customFormat="false" ht="15" hidden="false" customHeight="false" outlineLevel="0" collapsed="false">
      <c r="A212" s="7" t="s">
        <v>1127</v>
      </c>
      <c r="B212" s="7" t="s">
        <v>1057</v>
      </c>
      <c r="C212" s="7" t="s">
        <v>1048</v>
      </c>
      <c r="D212" s="7" t="s">
        <v>1118</v>
      </c>
      <c r="E212" s="7" t="s">
        <v>1124</v>
      </c>
      <c r="F212" s="7"/>
      <c r="G212" s="10" t="n">
        <v>20000000</v>
      </c>
      <c r="H212" s="11" t="n">
        <v>-0.42</v>
      </c>
      <c r="I212" s="11" t="n">
        <v>-0.06</v>
      </c>
      <c r="J212" s="11" t="n">
        <v>-0.06</v>
      </c>
      <c r="K212" s="11" t="n">
        <v>7.16</v>
      </c>
      <c r="L212" s="11" t="n">
        <v>6.71</v>
      </c>
      <c r="M212" s="11" t="n">
        <v>9.09</v>
      </c>
      <c r="N212" s="12" t="n">
        <v>12.075723</v>
      </c>
    </row>
    <row r="213" customFormat="false" ht="15" hidden="false" customHeight="false" outlineLevel="0" collapsed="false">
      <c r="A213" s="7" t="s">
        <v>1127</v>
      </c>
      <c r="B213" s="7" t="s">
        <v>1058</v>
      </c>
      <c r="C213" s="7" t="s">
        <v>1048</v>
      </c>
      <c r="D213" s="7" t="s">
        <v>1118</v>
      </c>
      <c r="E213" s="7" t="s">
        <v>1124</v>
      </c>
      <c r="F213" s="7"/>
      <c r="G213" s="10" t="n">
        <v>150000000</v>
      </c>
      <c r="H213" s="11" t="n">
        <v>-0.41</v>
      </c>
      <c r="I213" s="11" t="n">
        <v>-0.05</v>
      </c>
      <c r="J213" s="11" t="n">
        <v>-0.05</v>
      </c>
      <c r="K213" s="11" t="n">
        <v>0</v>
      </c>
      <c r="L213" s="11" t="n">
        <v>0</v>
      </c>
      <c r="M213" s="11" t="n">
        <v>14.07</v>
      </c>
      <c r="N213" s="12" t="n">
        <v>13.735735</v>
      </c>
    </row>
    <row r="214" customFormat="false" ht="15" hidden="false" customHeight="false" outlineLevel="0" collapsed="false">
      <c r="A214" s="7" t="s">
        <v>1127</v>
      </c>
      <c r="B214" s="7" t="s">
        <v>1071</v>
      </c>
      <c r="C214" s="7" t="s">
        <v>1048</v>
      </c>
      <c r="D214" s="7" t="s">
        <v>1118</v>
      </c>
      <c r="E214" s="7" t="s">
        <v>1124</v>
      </c>
      <c r="F214" s="7"/>
      <c r="G214" s="10" t="n">
        <v>300000000</v>
      </c>
      <c r="H214" s="11" t="n">
        <v>0</v>
      </c>
      <c r="I214" s="11" t="n">
        <v>0</v>
      </c>
      <c r="J214" s="11" t="n">
        <v>0</v>
      </c>
      <c r="K214" s="11" t="n">
        <v>0</v>
      </c>
      <c r="L214" s="11" t="n">
        <v>0</v>
      </c>
      <c r="M214" s="11" t="n">
        <v>0</v>
      </c>
      <c r="N214" s="12" t="n">
        <v>10</v>
      </c>
    </row>
    <row r="215" customFormat="false" ht="15" hidden="false" customHeight="false" outlineLevel="0" collapsed="false">
      <c r="A215" s="7" t="s">
        <v>1123</v>
      </c>
      <c r="B215" s="7" t="s">
        <v>1055</v>
      </c>
      <c r="C215" s="7" t="s">
        <v>1048</v>
      </c>
      <c r="D215" s="7" t="s">
        <v>1118</v>
      </c>
      <c r="E215" s="7" t="s">
        <v>1124</v>
      </c>
      <c r="F215" s="7"/>
      <c r="G215" s="10" t="n">
        <v>0</v>
      </c>
      <c r="H215" s="11" t="n">
        <v>0.02</v>
      </c>
      <c r="I215" s="11" t="n">
        <v>0.09</v>
      </c>
      <c r="J215" s="11" t="n">
        <v>0.09</v>
      </c>
      <c r="K215" s="11" t="n">
        <v>1.25</v>
      </c>
      <c r="L215" s="11" t="n">
        <v>1.82</v>
      </c>
      <c r="M215" s="11" t="n">
        <v>4.38</v>
      </c>
      <c r="N215" s="12" t="n">
        <v>0.539711</v>
      </c>
    </row>
    <row r="216" customFormat="false" ht="15" hidden="false" customHeight="false" outlineLevel="0" collapsed="false">
      <c r="A216" s="7" t="s">
        <v>1123</v>
      </c>
      <c r="B216" s="7" t="s">
        <v>1056</v>
      </c>
      <c r="C216" s="7" t="s">
        <v>1048</v>
      </c>
      <c r="D216" s="7" t="s">
        <v>1118</v>
      </c>
      <c r="E216" s="7" t="s">
        <v>1124</v>
      </c>
      <c r="F216" s="7"/>
      <c r="G216" s="10" t="n">
        <v>1000000</v>
      </c>
      <c r="H216" s="11" t="n">
        <v>0.02</v>
      </c>
      <c r="I216" s="11" t="n">
        <v>0.1</v>
      </c>
      <c r="J216" s="11" t="n">
        <v>0.1</v>
      </c>
      <c r="K216" s="11" t="n">
        <v>1.47</v>
      </c>
      <c r="L216" s="11" t="n">
        <v>2.12</v>
      </c>
      <c r="M216" s="11" t="n">
        <v>4.99</v>
      </c>
      <c r="N216" s="12" t="n">
        <v>0.5652</v>
      </c>
    </row>
    <row r="217" customFormat="false" ht="15" hidden="false" customHeight="false" outlineLevel="0" collapsed="false">
      <c r="A217" s="7" t="s">
        <v>1123</v>
      </c>
      <c r="B217" s="7" t="s">
        <v>1057</v>
      </c>
      <c r="C217" s="7" t="s">
        <v>1048</v>
      </c>
      <c r="D217" s="7" t="s">
        <v>1118</v>
      </c>
      <c r="E217" s="7" t="s">
        <v>1124</v>
      </c>
      <c r="F217" s="7"/>
      <c r="G217" s="10" t="n">
        <v>20000000</v>
      </c>
      <c r="H217" s="11" t="n">
        <v>0.02</v>
      </c>
      <c r="I217" s="11" t="n">
        <v>0.1</v>
      </c>
      <c r="J217" s="11" t="n">
        <v>0.1</v>
      </c>
      <c r="K217" s="11" t="n">
        <v>1.7</v>
      </c>
      <c r="L217" s="11" t="n">
        <v>2.41</v>
      </c>
      <c r="M217" s="11" t="n">
        <v>5.6</v>
      </c>
      <c r="N217" s="12" t="n">
        <v>0.575031</v>
      </c>
    </row>
    <row r="218" customFormat="false" ht="15" hidden="false" customHeight="false" outlineLevel="0" collapsed="false">
      <c r="A218" s="7" t="s">
        <v>1123</v>
      </c>
      <c r="B218" s="7" t="s">
        <v>1058</v>
      </c>
      <c r="C218" s="7" t="s">
        <v>1048</v>
      </c>
      <c r="D218" s="7" t="s">
        <v>1118</v>
      </c>
      <c r="E218" s="7" t="s">
        <v>1124</v>
      </c>
      <c r="F218" s="7"/>
      <c r="G218" s="10" t="n">
        <v>150000000</v>
      </c>
      <c r="H218" s="11" t="n">
        <v>0.02</v>
      </c>
      <c r="I218" s="11" t="n">
        <v>0.11</v>
      </c>
      <c r="J218" s="11" t="n">
        <v>0.11</v>
      </c>
      <c r="K218" s="11" t="n">
        <v>1.92</v>
      </c>
      <c r="L218" s="11" t="n">
        <v>2.71</v>
      </c>
      <c r="M218" s="11" t="n">
        <v>6.21</v>
      </c>
      <c r="N218" s="12" t="n">
        <v>0.575022</v>
      </c>
    </row>
    <row r="219" customFormat="false" ht="15" hidden="false" customHeight="false" outlineLevel="0" collapsed="false">
      <c r="A219" s="7" t="s">
        <v>1123</v>
      </c>
      <c r="B219" s="7" t="s">
        <v>1071</v>
      </c>
      <c r="C219" s="7" t="s">
        <v>1048</v>
      </c>
      <c r="D219" s="7" t="s">
        <v>1118</v>
      </c>
      <c r="E219" s="7" t="s">
        <v>1124</v>
      </c>
      <c r="F219" s="7"/>
      <c r="G219" s="10" t="n">
        <v>300000000</v>
      </c>
      <c r="H219" s="11" t="n">
        <v>0.02</v>
      </c>
      <c r="I219" s="11" t="n">
        <v>0.12</v>
      </c>
      <c r="J219" s="11" t="n">
        <v>0.12</v>
      </c>
      <c r="K219" s="11" t="n">
        <v>2.29</v>
      </c>
      <c r="L219" s="11" t="n">
        <v>3.19</v>
      </c>
      <c r="M219" s="11" t="n">
        <v>7.2</v>
      </c>
      <c r="N219" s="12" t="n">
        <v>0.59412</v>
      </c>
    </row>
    <row r="220" customFormat="false" ht="15" hidden="false" customHeight="false" outlineLevel="0" collapsed="false">
      <c r="A220" s="7" t="s">
        <v>1125</v>
      </c>
      <c r="B220" s="7" t="s">
        <v>1055</v>
      </c>
      <c r="C220" s="7" t="s">
        <v>1048</v>
      </c>
      <c r="D220" s="7" t="s">
        <v>1118</v>
      </c>
      <c r="E220" s="7" t="s">
        <v>1124</v>
      </c>
      <c r="F220" s="7"/>
      <c r="G220" s="10" t="n">
        <v>0</v>
      </c>
      <c r="H220" s="11" t="n">
        <v>-0.13</v>
      </c>
      <c r="I220" s="11" t="n">
        <v>0.19</v>
      </c>
      <c r="J220" s="11" t="n">
        <v>0.19</v>
      </c>
      <c r="K220" s="11" t="n">
        <v>1.78</v>
      </c>
      <c r="L220" s="11" t="n">
        <v>2.61</v>
      </c>
      <c r="M220" s="11" t="n">
        <v>6.36</v>
      </c>
      <c r="N220" s="12" t="n">
        <v>0.555978</v>
      </c>
    </row>
    <row r="221" customFormat="false" ht="15" hidden="false" customHeight="false" outlineLevel="0" collapsed="false">
      <c r="A221" s="7" t="s">
        <v>1125</v>
      </c>
      <c r="B221" s="7" t="s">
        <v>1056</v>
      </c>
      <c r="C221" s="7" t="s">
        <v>1048</v>
      </c>
      <c r="D221" s="7" t="s">
        <v>1118</v>
      </c>
      <c r="E221" s="7" t="s">
        <v>1124</v>
      </c>
      <c r="F221" s="7"/>
      <c r="G221" s="10" t="n">
        <v>1000000</v>
      </c>
      <c r="H221" s="11" t="n">
        <v>-0.12</v>
      </c>
      <c r="I221" s="11" t="n">
        <v>0.2</v>
      </c>
      <c r="J221" s="11" t="n">
        <v>0.2</v>
      </c>
      <c r="K221" s="11" t="n">
        <v>2.05</v>
      </c>
      <c r="L221" s="11" t="n">
        <v>2.96</v>
      </c>
      <c r="M221" s="11" t="n">
        <v>7.1</v>
      </c>
      <c r="N221" s="12" t="n">
        <v>0.572824</v>
      </c>
    </row>
    <row r="222" customFormat="false" ht="15" hidden="false" customHeight="false" outlineLevel="0" collapsed="false">
      <c r="A222" s="7" t="s">
        <v>1125</v>
      </c>
      <c r="B222" s="7" t="s">
        <v>1057</v>
      </c>
      <c r="C222" s="7" t="s">
        <v>1048</v>
      </c>
      <c r="D222" s="7" t="s">
        <v>1118</v>
      </c>
      <c r="E222" s="7" t="s">
        <v>1124</v>
      </c>
      <c r="F222" s="7"/>
      <c r="G222" s="10" t="n">
        <v>20000000</v>
      </c>
      <c r="H222" s="11" t="n">
        <v>-0.12</v>
      </c>
      <c r="I222" s="11" t="n">
        <v>0.2</v>
      </c>
      <c r="J222" s="11" t="n">
        <v>0.2</v>
      </c>
      <c r="K222" s="11" t="n">
        <v>2.32</v>
      </c>
      <c r="L222" s="11" t="n">
        <v>3.32</v>
      </c>
      <c r="M222" s="11" t="n">
        <v>7.85</v>
      </c>
      <c r="N222" s="12" t="n">
        <v>0.590401</v>
      </c>
    </row>
    <row r="223" customFormat="false" ht="15" hidden="false" customHeight="false" outlineLevel="0" collapsed="false">
      <c r="A223" s="7" t="s">
        <v>1125</v>
      </c>
      <c r="B223" s="7" t="s">
        <v>1058</v>
      </c>
      <c r="C223" s="7" t="s">
        <v>1048</v>
      </c>
      <c r="D223" s="7" t="s">
        <v>1118</v>
      </c>
      <c r="E223" s="7" t="s">
        <v>1124</v>
      </c>
      <c r="F223" s="7"/>
      <c r="G223" s="10" t="n">
        <v>150000000</v>
      </c>
      <c r="H223" s="11" t="n">
        <v>-0.12</v>
      </c>
      <c r="I223" s="11" t="n">
        <v>0.21</v>
      </c>
      <c r="J223" s="11" t="n">
        <v>0.21</v>
      </c>
      <c r="K223" s="11" t="n">
        <v>2.59</v>
      </c>
      <c r="L223" s="11" t="n">
        <v>3.68</v>
      </c>
      <c r="M223" s="11" t="n">
        <v>8.6</v>
      </c>
      <c r="N223" s="12" t="n">
        <v>0.617842</v>
      </c>
    </row>
    <row r="224" customFormat="false" ht="15" hidden="false" customHeight="false" outlineLevel="0" collapsed="false">
      <c r="A224" s="7" t="s">
        <v>1125</v>
      </c>
      <c r="B224" s="7" t="s">
        <v>1071</v>
      </c>
      <c r="C224" s="7" t="s">
        <v>1048</v>
      </c>
      <c r="D224" s="7" t="s">
        <v>1118</v>
      </c>
      <c r="E224" s="7" t="s">
        <v>1124</v>
      </c>
      <c r="F224" s="7"/>
      <c r="G224" s="10" t="n">
        <v>300000000</v>
      </c>
      <c r="H224" s="11" t="n">
        <v>-0.12</v>
      </c>
      <c r="I224" s="11" t="n">
        <v>0.21</v>
      </c>
      <c r="J224" s="11" t="n">
        <v>0.21</v>
      </c>
      <c r="K224" s="11" t="n">
        <v>2.78</v>
      </c>
      <c r="L224" s="11" t="n">
        <v>3.93</v>
      </c>
      <c r="M224" s="11" t="n">
        <v>9.11</v>
      </c>
      <c r="N224" s="12" t="n">
        <v>0.764456</v>
      </c>
    </row>
    <row r="225" customFormat="false" ht="15" hidden="false" customHeight="false" outlineLevel="0" collapsed="false">
      <c r="A225" s="7" t="s">
        <v>1126</v>
      </c>
      <c r="B225" s="7" t="s">
        <v>1055</v>
      </c>
      <c r="C225" s="7" t="s">
        <v>1048</v>
      </c>
      <c r="D225" s="7" t="s">
        <v>1118</v>
      </c>
      <c r="E225" s="7" t="s">
        <v>1124</v>
      </c>
      <c r="F225" s="7"/>
      <c r="G225" s="10" t="n">
        <v>0</v>
      </c>
      <c r="H225" s="11" t="n">
        <v>-0.36</v>
      </c>
      <c r="I225" s="11" t="n">
        <v>0.35</v>
      </c>
      <c r="J225" s="11" t="n">
        <v>0.35</v>
      </c>
      <c r="K225" s="11" t="n">
        <v>4.61</v>
      </c>
      <c r="L225" s="11" t="n">
        <v>5.93</v>
      </c>
      <c r="M225" s="11" t="n">
        <v>11.2</v>
      </c>
      <c r="N225" s="12" t="n">
        <v>0.589239</v>
      </c>
    </row>
    <row r="226" customFormat="false" ht="15" hidden="false" customHeight="false" outlineLevel="0" collapsed="false">
      <c r="A226" s="7" t="s">
        <v>1126</v>
      </c>
      <c r="B226" s="7" t="s">
        <v>1056</v>
      </c>
      <c r="C226" s="7" t="s">
        <v>1048</v>
      </c>
      <c r="D226" s="7" t="s">
        <v>1118</v>
      </c>
      <c r="E226" s="7" t="s">
        <v>1124</v>
      </c>
      <c r="F226" s="7"/>
      <c r="G226" s="10" t="n">
        <v>1000000</v>
      </c>
      <c r="H226" s="11" t="n">
        <v>-0.36</v>
      </c>
      <c r="I226" s="11" t="n">
        <v>0.36</v>
      </c>
      <c r="J226" s="11" t="n">
        <v>0.36</v>
      </c>
      <c r="K226" s="11" t="n">
        <v>4.99</v>
      </c>
      <c r="L226" s="11" t="n">
        <v>6.42</v>
      </c>
      <c r="M226" s="11" t="n">
        <v>12.24</v>
      </c>
      <c r="N226" s="12" t="n">
        <v>0.613191</v>
      </c>
    </row>
    <row r="227" customFormat="false" ht="15" hidden="false" customHeight="false" outlineLevel="0" collapsed="false">
      <c r="A227" s="7" t="s">
        <v>1126</v>
      </c>
      <c r="B227" s="7" t="s">
        <v>1057</v>
      </c>
      <c r="C227" s="7" t="s">
        <v>1048</v>
      </c>
      <c r="D227" s="7" t="s">
        <v>1118</v>
      </c>
      <c r="E227" s="7" t="s">
        <v>1124</v>
      </c>
      <c r="F227" s="7"/>
      <c r="G227" s="10" t="n">
        <v>20000000</v>
      </c>
      <c r="H227" s="11" t="n">
        <v>-0.36</v>
      </c>
      <c r="I227" s="11" t="n">
        <v>0.37</v>
      </c>
      <c r="J227" s="11" t="n">
        <v>0.37</v>
      </c>
      <c r="K227" s="11" t="n">
        <v>5.27</v>
      </c>
      <c r="L227" s="11" t="n">
        <v>6.8</v>
      </c>
      <c r="M227" s="11" t="n">
        <v>13.03</v>
      </c>
      <c r="N227" s="12" t="n">
        <v>0.632222</v>
      </c>
    </row>
    <row r="228" customFormat="false" ht="15" hidden="false" customHeight="false" outlineLevel="0" collapsed="false">
      <c r="A228" s="7" t="s">
        <v>1126</v>
      </c>
      <c r="B228" s="7" t="s">
        <v>1058</v>
      </c>
      <c r="C228" s="7" t="s">
        <v>1048</v>
      </c>
      <c r="D228" s="7" t="s">
        <v>1118</v>
      </c>
      <c r="E228" s="7" t="s">
        <v>1124</v>
      </c>
      <c r="F228" s="7"/>
      <c r="G228" s="10" t="n">
        <v>150000000</v>
      </c>
      <c r="H228" s="11" t="n">
        <v>0</v>
      </c>
      <c r="I228" s="11" t="n">
        <v>0</v>
      </c>
      <c r="J228" s="11" t="n">
        <v>0</v>
      </c>
      <c r="K228" s="11" t="n">
        <v>0</v>
      </c>
      <c r="L228" s="11" t="n">
        <v>0</v>
      </c>
      <c r="M228" s="11" t="n">
        <v>0</v>
      </c>
      <c r="N228" s="12" t="n">
        <v>0.649108</v>
      </c>
    </row>
    <row r="229" customFormat="false" ht="15" hidden="false" customHeight="false" outlineLevel="0" collapsed="false">
      <c r="A229" s="7" t="s">
        <v>1126</v>
      </c>
      <c r="B229" s="7" t="s">
        <v>1071</v>
      </c>
      <c r="C229" s="7" t="s">
        <v>1048</v>
      </c>
      <c r="D229" s="7" t="s">
        <v>1118</v>
      </c>
      <c r="E229" s="7" t="s">
        <v>1124</v>
      </c>
      <c r="F229" s="7"/>
      <c r="G229" s="10" t="n">
        <v>300000000</v>
      </c>
      <c r="H229" s="11" t="n">
        <v>0</v>
      </c>
      <c r="I229" s="11" t="n">
        <v>0</v>
      </c>
      <c r="J229" s="11" t="n">
        <v>0</v>
      </c>
      <c r="K229" s="11" t="n">
        <v>0</v>
      </c>
      <c r="L229" s="11" t="n">
        <v>0</v>
      </c>
      <c r="M229" s="11" t="n">
        <v>0</v>
      </c>
      <c r="N229" s="12" t="n">
        <v>0.550387</v>
      </c>
    </row>
    <row r="230" customFormat="false" ht="15" hidden="false" customHeight="false" outlineLevel="0" collapsed="false">
      <c r="A230" s="7" t="s">
        <v>1127</v>
      </c>
      <c r="B230" s="7" t="s">
        <v>1055</v>
      </c>
      <c r="C230" s="7" t="s">
        <v>1048</v>
      </c>
      <c r="D230" s="7" t="s">
        <v>1118</v>
      </c>
      <c r="E230" s="7" t="s">
        <v>1124</v>
      </c>
      <c r="F230" s="7"/>
      <c r="G230" s="10" t="n">
        <v>0</v>
      </c>
      <c r="H230" s="11" t="n">
        <v>-0.48</v>
      </c>
      <c r="I230" s="11" t="n">
        <v>0.46</v>
      </c>
      <c r="J230" s="11" t="n">
        <v>0.46</v>
      </c>
      <c r="K230" s="11" t="n">
        <v>6.54</v>
      </c>
      <c r="L230" s="11" t="n">
        <v>8.13</v>
      </c>
      <c r="M230" s="11" t="n">
        <v>14.95</v>
      </c>
      <c r="N230" s="12" t="n">
        <v>0.620669</v>
      </c>
    </row>
    <row r="231" customFormat="false" ht="15" hidden="false" customHeight="false" outlineLevel="0" collapsed="false">
      <c r="A231" s="7" t="s">
        <v>1127</v>
      </c>
      <c r="B231" s="7" t="s">
        <v>1056</v>
      </c>
      <c r="C231" s="7" t="s">
        <v>1048</v>
      </c>
      <c r="D231" s="7" t="s">
        <v>1118</v>
      </c>
      <c r="E231" s="7" t="s">
        <v>1124</v>
      </c>
      <c r="F231" s="7"/>
      <c r="G231" s="10" t="n">
        <v>1000000</v>
      </c>
      <c r="H231" s="11" t="n">
        <v>-0.48</v>
      </c>
      <c r="I231" s="11" t="n">
        <v>0.47</v>
      </c>
      <c r="J231" s="11" t="n">
        <v>0.47</v>
      </c>
      <c r="K231" s="11" t="n">
        <v>6.92</v>
      </c>
      <c r="L231" s="11" t="n">
        <v>8.64</v>
      </c>
      <c r="M231" s="11" t="n">
        <v>16.02</v>
      </c>
      <c r="N231" s="12" t="n">
        <v>0.64562</v>
      </c>
    </row>
    <row r="232" customFormat="false" ht="15" hidden="false" customHeight="false" outlineLevel="0" collapsed="false">
      <c r="A232" s="7" t="s">
        <v>1127</v>
      </c>
      <c r="B232" s="7" t="s">
        <v>1057</v>
      </c>
      <c r="C232" s="7" t="s">
        <v>1048</v>
      </c>
      <c r="D232" s="7" t="s">
        <v>1118</v>
      </c>
      <c r="E232" s="7" t="s">
        <v>1124</v>
      </c>
      <c r="F232" s="7"/>
      <c r="G232" s="10" t="n">
        <v>20000000</v>
      </c>
      <c r="H232" s="11" t="n">
        <v>-0.48</v>
      </c>
      <c r="I232" s="11" t="n">
        <v>0.48</v>
      </c>
      <c r="J232" s="11" t="n">
        <v>0.48</v>
      </c>
      <c r="K232" s="11" t="n">
        <v>7.3</v>
      </c>
      <c r="L232" s="11" t="n">
        <v>9.14</v>
      </c>
      <c r="M232" s="11" t="n">
        <v>17.11</v>
      </c>
      <c r="N232" s="12" t="n">
        <v>0.6719</v>
      </c>
    </row>
    <row r="233" customFormat="false" ht="15" hidden="false" customHeight="false" outlineLevel="0" collapsed="false">
      <c r="A233" s="7" t="s">
        <v>1127</v>
      </c>
      <c r="B233" s="7" t="s">
        <v>1058</v>
      </c>
      <c r="C233" s="7" t="s">
        <v>1048</v>
      </c>
      <c r="D233" s="7" t="s">
        <v>1118</v>
      </c>
      <c r="E233" s="7" t="s">
        <v>1124</v>
      </c>
      <c r="F233" s="7"/>
      <c r="G233" s="10" t="n">
        <v>150000000</v>
      </c>
      <c r="H233" s="11" t="n">
        <v>-0.48</v>
      </c>
      <c r="I233" s="11" t="n">
        <v>0.49</v>
      </c>
      <c r="J233" s="11" t="n">
        <v>0.49</v>
      </c>
      <c r="K233" s="11" t="n">
        <v>0</v>
      </c>
      <c r="L233" s="11" t="n">
        <v>0</v>
      </c>
      <c r="M233" s="11" t="n">
        <v>22.45</v>
      </c>
      <c r="N233" s="12" t="n">
        <v>0.764264</v>
      </c>
    </row>
    <row r="234" customFormat="false" ht="15" hidden="false" customHeight="false" outlineLevel="0" collapsed="false">
      <c r="A234" s="7" t="s">
        <v>1127</v>
      </c>
      <c r="B234" s="7" t="s">
        <v>1071</v>
      </c>
      <c r="C234" s="7" t="s">
        <v>1048</v>
      </c>
      <c r="D234" s="7" t="s">
        <v>1118</v>
      </c>
      <c r="E234" s="7" t="s">
        <v>1124</v>
      </c>
      <c r="F234" s="7"/>
      <c r="G234" s="10" t="n">
        <v>300000000</v>
      </c>
      <c r="H234" s="11" t="n">
        <v>0</v>
      </c>
      <c r="I234" s="11" t="n">
        <v>0</v>
      </c>
      <c r="J234" s="11" t="n">
        <v>0</v>
      </c>
      <c r="K234" s="11" t="n">
        <v>0</v>
      </c>
      <c r="L234" s="11" t="n">
        <v>0</v>
      </c>
      <c r="M234" s="11" t="n">
        <v>0</v>
      </c>
      <c r="N234" s="12" t="n">
        <v>0.556406</v>
      </c>
    </row>
    <row r="235" customFormat="false" ht="15" hidden="false" customHeight="false" outlineLevel="0" collapsed="false">
      <c r="A235" s="7" t="s">
        <v>1128</v>
      </c>
      <c r="B235" s="7" t="s">
        <v>1055</v>
      </c>
      <c r="C235" s="7" t="s">
        <v>1048</v>
      </c>
      <c r="D235" s="7" t="s">
        <v>1129</v>
      </c>
      <c r="E235" s="7" t="s">
        <v>1124</v>
      </c>
      <c r="F235" s="7"/>
      <c r="G235" s="10" t="n">
        <v>0</v>
      </c>
      <c r="H235" s="11" t="n">
        <v>-0.44</v>
      </c>
      <c r="I235" s="11" t="n">
        <v>0.29</v>
      </c>
      <c r="J235" s="11" t="n">
        <v>0.29</v>
      </c>
      <c r="K235" s="11" t="n">
        <v>3.03</v>
      </c>
      <c r="L235" s="11" t="n">
        <v>4.99</v>
      </c>
      <c r="M235" s="11" t="n">
        <v>13.9</v>
      </c>
      <c r="N235" s="12" t="n">
        <v>12.23961</v>
      </c>
    </row>
    <row r="236" customFormat="false" ht="15" hidden="false" customHeight="false" outlineLevel="0" collapsed="false">
      <c r="A236" s="7" t="s">
        <v>1128</v>
      </c>
      <c r="B236" s="7" t="s">
        <v>1056</v>
      </c>
      <c r="C236" s="7" t="s">
        <v>1048</v>
      </c>
      <c r="D236" s="7" t="s">
        <v>1129</v>
      </c>
      <c r="E236" s="7" t="s">
        <v>1124</v>
      </c>
      <c r="F236" s="7"/>
      <c r="G236" s="10" t="n">
        <v>1000000</v>
      </c>
      <c r="H236" s="11" t="n">
        <v>-0.44</v>
      </c>
      <c r="I236" s="11" t="n">
        <v>0.3</v>
      </c>
      <c r="J236" s="11" t="n">
        <v>0.3</v>
      </c>
      <c r="K236" s="11" t="n">
        <v>3.4</v>
      </c>
      <c r="L236" s="11" t="n">
        <v>5.48</v>
      </c>
      <c r="M236" s="11" t="n">
        <v>14.96</v>
      </c>
      <c r="N236" s="12" t="n">
        <v>12.550155</v>
      </c>
    </row>
    <row r="237" customFormat="false" ht="15" hidden="false" customHeight="false" outlineLevel="0" collapsed="false">
      <c r="A237" s="7" t="s">
        <v>1128</v>
      </c>
      <c r="B237" s="7" t="s">
        <v>1057</v>
      </c>
      <c r="C237" s="7" t="s">
        <v>1048</v>
      </c>
      <c r="D237" s="7" t="s">
        <v>1129</v>
      </c>
      <c r="E237" s="7" t="s">
        <v>1124</v>
      </c>
      <c r="F237" s="7"/>
      <c r="G237" s="10" t="n">
        <v>20000000</v>
      </c>
      <c r="H237" s="11" t="n">
        <v>-0.44</v>
      </c>
      <c r="I237" s="11" t="n">
        <v>0.3</v>
      </c>
      <c r="J237" s="11" t="n">
        <v>0.3</v>
      </c>
      <c r="K237" s="11" t="n">
        <v>3.68</v>
      </c>
      <c r="L237" s="11" t="n">
        <v>5.85</v>
      </c>
      <c r="M237" s="11" t="n">
        <v>15.77</v>
      </c>
      <c r="N237" s="12" t="n">
        <v>12.801914</v>
      </c>
    </row>
    <row r="238" customFormat="false" ht="15" hidden="false" customHeight="false" outlineLevel="0" collapsed="false">
      <c r="A238" s="7" t="s">
        <v>1128</v>
      </c>
      <c r="B238" s="7" t="s">
        <v>1058</v>
      </c>
      <c r="C238" s="7" t="s">
        <v>1048</v>
      </c>
      <c r="D238" s="7" t="s">
        <v>1129</v>
      </c>
      <c r="E238" s="7" t="s">
        <v>1124</v>
      </c>
      <c r="F238" s="7"/>
      <c r="G238" s="10" t="n">
        <v>150000000</v>
      </c>
      <c r="H238" s="11" t="n">
        <v>0</v>
      </c>
      <c r="I238" s="11" t="n">
        <v>0</v>
      </c>
      <c r="J238" s="11" t="n">
        <v>0</v>
      </c>
      <c r="K238" s="11" t="n">
        <v>0</v>
      </c>
      <c r="L238" s="11" t="n">
        <v>0</v>
      </c>
      <c r="M238" s="11" t="n">
        <v>0</v>
      </c>
      <c r="N238" s="12" t="n">
        <v>11.896958</v>
      </c>
    </row>
    <row r="239" customFormat="false" ht="15" hidden="false" customHeight="false" outlineLevel="0" collapsed="false">
      <c r="A239" s="7" t="s">
        <v>1128</v>
      </c>
      <c r="B239" s="7" t="s">
        <v>1071</v>
      </c>
      <c r="C239" s="7" t="s">
        <v>1048</v>
      </c>
      <c r="D239" s="7" t="s">
        <v>1129</v>
      </c>
      <c r="E239" s="7" t="s">
        <v>1124</v>
      </c>
      <c r="F239" s="7"/>
      <c r="G239" s="10" t="n">
        <v>300000000</v>
      </c>
      <c r="H239" s="11" t="n">
        <v>0</v>
      </c>
      <c r="I239" s="11" t="n">
        <v>0</v>
      </c>
      <c r="J239" s="11" t="n">
        <v>0</v>
      </c>
      <c r="K239" s="11" t="n">
        <v>0</v>
      </c>
      <c r="L239" s="11" t="n">
        <v>0</v>
      </c>
      <c r="M239" s="11" t="n">
        <v>0</v>
      </c>
      <c r="N239" s="12" t="n">
        <v>9.722142</v>
      </c>
    </row>
    <row r="240" customFormat="false" ht="15" hidden="false" customHeight="false" outlineLevel="0" collapsed="false">
      <c r="A240" s="7" t="s">
        <v>1130</v>
      </c>
      <c r="B240" s="7" t="s">
        <v>1055</v>
      </c>
      <c r="C240" s="7" t="s">
        <v>1048</v>
      </c>
      <c r="D240" s="7" t="s">
        <v>1129</v>
      </c>
      <c r="E240" s="7" t="s">
        <v>1124</v>
      </c>
      <c r="F240" s="7"/>
      <c r="G240" s="10" t="n">
        <v>0</v>
      </c>
      <c r="H240" s="11" t="n">
        <v>-0.76</v>
      </c>
      <c r="I240" s="11" t="n">
        <v>0.32</v>
      </c>
      <c r="J240" s="11" t="n">
        <v>0.32</v>
      </c>
      <c r="K240" s="11" t="n">
        <v>8.9</v>
      </c>
      <c r="L240" s="11" t="n">
        <v>11.9</v>
      </c>
      <c r="M240" s="11" t="n">
        <v>22.08</v>
      </c>
      <c r="N240" s="12" t="n">
        <v>18.484234</v>
      </c>
    </row>
    <row r="241" customFormat="false" ht="15" hidden="false" customHeight="false" outlineLevel="0" collapsed="false">
      <c r="A241" s="7" t="s">
        <v>1130</v>
      </c>
      <c r="B241" s="7" t="s">
        <v>1056</v>
      </c>
      <c r="C241" s="7" t="s">
        <v>1048</v>
      </c>
      <c r="D241" s="7" t="s">
        <v>1129</v>
      </c>
      <c r="E241" s="7" t="s">
        <v>1124</v>
      </c>
      <c r="F241" s="7"/>
      <c r="G241" s="10" t="n">
        <v>1000000</v>
      </c>
      <c r="H241" s="11" t="n">
        <v>-0.76</v>
      </c>
      <c r="I241" s="11" t="n">
        <v>0.33</v>
      </c>
      <c r="J241" s="11" t="n">
        <v>0.33</v>
      </c>
      <c r="K241" s="11" t="n">
        <v>9.29</v>
      </c>
      <c r="L241" s="11" t="n">
        <v>12.43</v>
      </c>
      <c r="M241" s="11" t="n">
        <v>23.24</v>
      </c>
      <c r="N241" s="12" t="n">
        <v>21.048192</v>
      </c>
    </row>
    <row r="242" customFormat="false" ht="15" hidden="false" customHeight="false" outlineLevel="0" collapsed="false">
      <c r="A242" s="7" t="s">
        <v>1130</v>
      </c>
      <c r="B242" s="7" t="s">
        <v>1057</v>
      </c>
      <c r="C242" s="7" t="s">
        <v>1048</v>
      </c>
      <c r="D242" s="7" t="s">
        <v>1129</v>
      </c>
      <c r="E242" s="7" t="s">
        <v>1124</v>
      </c>
      <c r="F242" s="7"/>
      <c r="G242" s="10" t="n">
        <v>20000000</v>
      </c>
      <c r="H242" s="11" t="n">
        <v>-0.75</v>
      </c>
      <c r="I242" s="11" t="n">
        <v>0.34</v>
      </c>
      <c r="J242" s="11" t="n">
        <v>0.34</v>
      </c>
      <c r="K242" s="11" t="n">
        <v>9.68</v>
      </c>
      <c r="L242" s="11" t="n">
        <v>12.95</v>
      </c>
      <c r="M242" s="11" t="n">
        <v>24.39</v>
      </c>
      <c r="N242" s="12" t="n">
        <v>22.001405</v>
      </c>
    </row>
    <row r="243" customFormat="false" ht="15" hidden="false" customHeight="false" outlineLevel="0" collapsed="false">
      <c r="A243" s="7" t="s">
        <v>1130</v>
      </c>
      <c r="B243" s="7" t="s">
        <v>1058</v>
      </c>
      <c r="C243" s="7" t="s">
        <v>1048</v>
      </c>
      <c r="D243" s="7" t="s">
        <v>1129</v>
      </c>
      <c r="E243" s="7" t="s">
        <v>1124</v>
      </c>
      <c r="F243" s="7"/>
      <c r="G243" s="10" t="n">
        <v>150000000</v>
      </c>
      <c r="H243" s="11" t="n">
        <v>-0.75</v>
      </c>
      <c r="I243" s="11" t="n">
        <v>0.35</v>
      </c>
      <c r="J243" s="11" t="n">
        <v>0.35</v>
      </c>
      <c r="K243" s="11" t="n">
        <v>10.08</v>
      </c>
      <c r="L243" s="11" t="n">
        <v>13.48</v>
      </c>
      <c r="M243" s="11" t="n">
        <v>25.56</v>
      </c>
      <c r="N243" s="12" t="n">
        <v>23.138852</v>
      </c>
    </row>
    <row r="244" customFormat="false" ht="15" hidden="false" customHeight="false" outlineLevel="0" collapsed="false">
      <c r="A244" s="7" t="s">
        <v>1130</v>
      </c>
      <c r="B244" s="7" t="s">
        <v>1071</v>
      </c>
      <c r="C244" s="7" t="s">
        <v>1048</v>
      </c>
      <c r="D244" s="7" t="s">
        <v>1129</v>
      </c>
      <c r="E244" s="7" t="s">
        <v>1124</v>
      </c>
      <c r="F244" s="7"/>
      <c r="G244" s="10" t="n">
        <v>300000000</v>
      </c>
      <c r="H244" s="11" t="n">
        <v>0</v>
      </c>
      <c r="I244" s="11" t="n">
        <v>0</v>
      </c>
      <c r="J244" s="11" t="n">
        <v>0</v>
      </c>
      <c r="K244" s="11" t="n">
        <v>0</v>
      </c>
      <c r="L244" s="11" t="n">
        <v>0</v>
      </c>
      <c r="M244" s="11" t="n">
        <v>0</v>
      </c>
      <c r="N244" s="12" t="n">
        <v>21.998941</v>
      </c>
    </row>
    <row r="245" customFormat="false" ht="15" hidden="false" customHeight="false" outlineLevel="0" collapsed="false">
      <c r="A245" s="7" t="s">
        <v>1131</v>
      </c>
      <c r="B245" s="7" t="s">
        <v>1055</v>
      </c>
      <c r="C245" s="7" t="s">
        <v>1048</v>
      </c>
      <c r="D245" s="7" t="s">
        <v>1129</v>
      </c>
      <c r="E245" s="7" t="s">
        <v>1124</v>
      </c>
      <c r="F245" s="7"/>
      <c r="G245" s="10" t="n">
        <v>0</v>
      </c>
      <c r="H245" s="11" t="n">
        <v>-0.87</v>
      </c>
      <c r="I245" s="11" t="n">
        <v>0.32</v>
      </c>
      <c r="J245" s="11" t="n">
        <v>0.32</v>
      </c>
      <c r="K245" s="11" t="n">
        <v>10.37</v>
      </c>
      <c r="L245" s="11" t="n">
        <v>13.83</v>
      </c>
      <c r="M245" s="11" t="n">
        <v>25.95</v>
      </c>
      <c r="N245" s="12" t="n">
        <v>12.978365</v>
      </c>
    </row>
    <row r="246" customFormat="false" ht="15" hidden="false" customHeight="false" outlineLevel="0" collapsed="false">
      <c r="A246" s="7" t="s">
        <v>1131</v>
      </c>
      <c r="B246" s="7" t="s">
        <v>1056</v>
      </c>
      <c r="C246" s="7" t="s">
        <v>1048</v>
      </c>
      <c r="D246" s="7" t="s">
        <v>1129</v>
      </c>
      <c r="E246" s="7" t="s">
        <v>1124</v>
      </c>
      <c r="F246" s="7"/>
      <c r="G246" s="10" t="n">
        <v>1000000</v>
      </c>
      <c r="H246" s="11" t="n">
        <v>-0.87</v>
      </c>
      <c r="I246" s="11" t="n">
        <v>0.32</v>
      </c>
      <c r="J246" s="11" t="n">
        <v>0.32</v>
      </c>
      <c r="K246" s="11" t="n">
        <v>10.77</v>
      </c>
      <c r="L246" s="11" t="n">
        <v>14.36</v>
      </c>
      <c r="M246" s="11" t="n">
        <v>27.13</v>
      </c>
      <c r="N246" s="12" t="n">
        <v>13.405856</v>
      </c>
    </row>
    <row r="247" customFormat="false" ht="15" hidden="false" customHeight="false" outlineLevel="0" collapsed="false">
      <c r="A247" s="7" t="s">
        <v>1131</v>
      </c>
      <c r="B247" s="7" t="s">
        <v>1057</v>
      </c>
      <c r="C247" s="7" t="s">
        <v>1048</v>
      </c>
      <c r="D247" s="7" t="s">
        <v>1129</v>
      </c>
      <c r="E247" s="7" t="s">
        <v>1124</v>
      </c>
      <c r="F247" s="7"/>
      <c r="G247" s="10" t="n">
        <v>20000000</v>
      </c>
      <c r="H247" s="11" t="n">
        <v>-0.87</v>
      </c>
      <c r="I247" s="11" t="n">
        <v>0.33</v>
      </c>
      <c r="J247" s="11" t="n">
        <v>0.33</v>
      </c>
      <c r="K247" s="11" t="n">
        <v>11.16</v>
      </c>
      <c r="L247" s="11" t="n">
        <v>14.9</v>
      </c>
      <c r="M247" s="11" t="n">
        <v>28.31</v>
      </c>
      <c r="N247" s="12" t="n">
        <v>13.74472</v>
      </c>
    </row>
    <row r="248" customFormat="false" ht="15" hidden="false" customHeight="false" outlineLevel="0" collapsed="false">
      <c r="A248" s="7" t="s">
        <v>1131</v>
      </c>
      <c r="B248" s="7" t="s">
        <v>1058</v>
      </c>
      <c r="C248" s="7" t="s">
        <v>1048</v>
      </c>
      <c r="D248" s="7" t="s">
        <v>1129</v>
      </c>
      <c r="E248" s="7" t="s">
        <v>1124</v>
      </c>
      <c r="F248" s="7"/>
      <c r="G248" s="10" t="n">
        <v>150000000</v>
      </c>
      <c r="H248" s="11" t="n">
        <v>0</v>
      </c>
      <c r="I248" s="11" t="n">
        <v>0</v>
      </c>
      <c r="J248" s="11" t="n">
        <v>0</v>
      </c>
      <c r="K248" s="11" t="n">
        <v>0</v>
      </c>
      <c r="L248" s="11" t="n">
        <v>0</v>
      </c>
      <c r="M248" s="11" t="n">
        <v>0</v>
      </c>
      <c r="N248" s="12" t="n">
        <v>10.278701</v>
      </c>
    </row>
    <row r="249" customFormat="false" ht="15" hidden="false" customHeight="false" outlineLevel="0" collapsed="false">
      <c r="A249" s="7" t="s">
        <v>1131</v>
      </c>
      <c r="B249" s="7" t="s">
        <v>1071</v>
      </c>
      <c r="C249" s="7" t="s">
        <v>1048</v>
      </c>
      <c r="D249" s="7" t="s">
        <v>1129</v>
      </c>
      <c r="E249" s="7" t="s">
        <v>1124</v>
      </c>
      <c r="F249" s="7"/>
      <c r="G249" s="10" t="n">
        <v>300000000</v>
      </c>
      <c r="H249" s="11" t="n">
        <v>0</v>
      </c>
      <c r="I249" s="11" t="n">
        <v>0</v>
      </c>
      <c r="J249" s="11" t="n">
        <v>0</v>
      </c>
      <c r="K249" s="11" t="n">
        <v>0</v>
      </c>
      <c r="L249" s="11" t="n">
        <v>0</v>
      </c>
      <c r="M249" s="11" t="n">
        <v>0</v>
      </c>
      <c r="N249" s="12" t="n">
        <v>10.378188</v>
      </c>
    </row>
    <row r="250" customFormat="false" ht="15" hidden="false" customHeight="false" outlineLevel="0" collapsed="false">
      <c r="A250" s="7" t="s">
        <v>1132</v>
      </c>
      <c r="B250" s="7" t="s">
        <v>1055</v>
      </c>
      <c r="C250" s="7" t="s">
        <v>1048</v>
      </c>
      <c r="D250" s="7" t="s">
        <v>1129</v>
      </c>
      <c r="E250" s="7" t="s">
        <v>1124</v>
      </c>
      <c r="F250" s="7"/>
      <c r="G250" s="10" t="n">
        <v>0</v>
      </c>
      <c r="H250" s="11" t="n">
        <v>-0.45</v>
      </c>
      <c r="I250" s="11" t="n">
        <v>-0.5</v>
      </c>
      <c r="J250" s="11" t="n">
        <v>-0.5</v>
      </c>
      <c r="K250" s="11" t="n">
        <v>-2.74</v>
      </c>
      <c r="L250" s="11" t="n">
        <v>-4.42</v>
      </c>
      <c r="M250" s="11" t="n">
        <v>-6.1</v>
      </c>
      <c r="N250" s="12" t="n">
        <v>9.35292</v>
      </c>
    </row>
    <row r="251" customFormat="false" ht="15" hidden="false" customHeight="false" outlineLevel="0" collapsed="false">
      <c r="A251" s="7" t="s">
        <v>1132</v>
      </c>
      <c r="B251" s="7" t="s">
        <v>1056</v>
      </c>
      <c r="C251" s="7" t="s">
        <v>1048</v>
      </c>
      <c r="D251" s="7" t="s">
        <v>1129</v>
      </c>
      <c r="E251" s="7" t="s">
        <v>1124</v>
      </c>
      <c r="F251" s="7"/>
      <c r="G251" s="10" t="n">
        <v>1000000</v>
      </c>
      <c r="H251" s="11" t="n">
        <v>-0.45</v>
      </c>
      <c r="I251" s="11" t="n">
        <v>-0.49</v>
      </c>
      <c r="J251" s="11" t="n">
        <v>-0.49</v>
      </c>
      <c r="K251" s="11" t="n">
        <v>-2.39</v>
      </c>
      <c r="L251" s="11" t="n">
        <v>-3.97</v>
      </c>
      <c r="M251" s="11" t="n">
        <v>-5.23</v>
      </c>
      <c r="N251" s="12" t="n">
        <v>9.3556</v>
      </c>
    </row>
    <row r="252" customFormat="false" ht="15" hidden="false" customHeight="false" outlineLevel="0" collapsed="false">
      <c r="A252" s="7" t="s">
        <v>1132</v>
      </c>
      <c r="B252" s="7" t="s">
        <v>1057</v>
      </c>
      <c r="C252" s="7" t="s">
        <v>1048</v>
      </c>
      <c r="D252" s="7" t="s">
        <v>1129</v>
      </c>
      <c r="E252" s="7" t="s">
        <v>1124</v>
      </c>
      <c r="F252" s="7"/>
      <c r="G252" s="10" t="n">
        <v>20000000</v>
      </c>
      <c r="H252" s="11" t="n">
        <v>-0.45</v>
      </c>
      <c r="I252" s="11" t="n">
        <v>-0.48</v>
      </c>
      <c r="J252" s="11" t="n">
        <v>-0.48</v>
      </c>
      <c r="K252" s="11" t="n">
        <v>-2.04</v>
      </c>
      <c r="L252" s="11" t="n">
        <v>-3.53</v>
      </c>
      <c r="M252" s="11" t="n">
        <v>-4.35</v>
      </c>
      <c r="N252" s="12" t="n">
        <v>9.549207</v>
      </c>
    </row>
    <row r="253" customFormat="false" ht="15" hidden="false" customHeight="false" outlineLevel="0" collapsed="false">
      <c r="A253" s="7" t="s">
        <v>1132</v>
      </c>
      <c r="B253" s="7" t="s">
        <v>1058</v>
      </c>
      <c r="C253" s="7" t="s">
        <v>1048</v>
      </c>
      <c r="D253" s="7" t="s">
        <v>1129</v>
      </c>
      <c r="E253" s="7" t="s">
        <v>1124</v>
      </c>
      <c r="F253" s="7"/>
      <c r="G253" s="10" t="n">
        <v>150000000</v>
      </c>
      <c r="H253" s="11" t="n">
        <v>-0.45</v>
      </c>
      <c r="I253" s="11" t="n">
        <v>-0.47</v>
      </c>
      <c r="J253" s="11" t="n">
        <v>-0.47</v>
      </c>
      <c r="K253" s="11" t="n">
        <v>-1.7</v>
      </c>
      <c r="L253" s="11" t="n">
        <v>-3.08</v>
      </c>
      <c r="M253" s="11" t="n">
        <v>-3.45</v>
      </c>
      <c r="N253" s="12" t="n">
        <v>9.92618</v>
      </c>
    </row>
    <row r="254" customFormat="false" ht="15" hidden="false" customHeight="false" outlineLevel="0" collapsed="false">
      <c r="A254" s="7" t="s">
        <v>1132</v>
      </c>
      <c r="B254" s="7" t="s">
        <v>1071</v>
      </c>
      <c r="C254" s="7" t="s">
        <v>1048</v>
      </c>
      <c r="D254" s="7" t="s">
        <v>1129</v>
      </c>
      <c r="E254" s="7" t="s">
        <v>1124</v>
      </c>
      <c r="F254" s="7"/>
      <c r="G254" s="10" t="n">
        <v>300000000</v>
      </c>
      <c r="H254" s="11" t="n">
        <v>-0.45</v>
      </c>
      <c r="I254" s="11" t="n">
        <v>-0.47</v>
      </c>
      <c r="J254" s="11" t="n">
        <v>-0.47</v>
      </c>
      <c r="K254" s="11" t="n">
        <v>-1.43</v>
      </c>
      <c r="L254" s="11" t="n">
        <v>-2.74</v>
      </c>
      <c r="M254" s="11" t="n">
        <v>-2.78</v>
      </c>
      <c r="N254" s="12" t="n">
        <v>10.108751</v>
      </c>
    </row>
    <row r="255" customFormat="false" ht="15" hidden="false" customHeight="false" outlineLevel="0" collapsed="false">
      <c r="A255" s="7" t="s">
        <v>1133</v>
      </c>
      <c r="B255" s="7" t="s">
        <v>1055</v>
      </c>
      <c r="C255" s="7" t="s">
        <v>1048</v>
      </c>
      <c r="D255" s="7" t="s">
        <v>1129</v>
      </c>
      <c r="E255" s="7" t="s">
        <v>1124</v>
      </c>
      <c r="F255" s="7"/>
      <c r="G255" s="10" t="n">
        <v>0</v>
      </c>
      <c r="H255" s="11" t="n">
        <v>-0.5</v>
      </c>
      <c r="I255" s="11" t="n">
        <v>-0.23</v>
      </c>
      <c r="J255" s="11" t="n">
        <v>-0.23</v>
      </c>
      <c r="K255" s="11" t="n">
        <v>0.31</v>
      </c>
      <c r="L255" s="11" t="n">
        <v>-1.18</v>
      </c>
      <c r="M255" s="11" t="n">
        <v>-0.45</v>
      </c>
      <c r="N255" s="12" t="n">
        <v>10.465454</v>
      </c>
    </row>
    <row r="256" customFormat="false" ht="15" hidden="false" customHeight="false" outlineLevel="0" collapsed="false">
      <c r="A256" s="7" t="s">
        <v>1133</v>
      </c>
      <c r="B256" s="7" t="s">
        <v>1056</v>
      </c>
      <c r="C256" s="7" t="s">
        <v>1048</v>
      </c>
      <c r="D256" s="7" t="s">
        <v>1129</v>
      </c>
      <c r="E256" s="7" t="s">
        <v>1124</v>
      </c>
      <c r="F256" s="7"/>
      <c r="G256" s="10" t="n">
        <v>1000000</v>
      </c>
      <c r="H256" s="11" t="n">
        <v>-0.5</v>
      </c>
      <c r="I256" s="11" t="n">
        <v>-0.22</v>
      </c>
      <c r="J256" s="11" t="n">
        <v>-0.22</v>
      </c>
      <c r="K256" s="11" t="n">
        <v>0.67</v>
      </c>
      <c r="L256" s="11" t="n">
        <v>-0.72</v>
      </c>
      <c r="M256" s="11" t="n">
        <v>0.48</v>
      </c>
      <c r="N256" s="12" t="n">
        <v>10.479708</v>
      </c>
    </row>
    <row r="257" customFormat="false" ht="15" hidden="false" customHeight="false" outlineLevel="0" collapsed="false">
      <c r="A257" s="7" t="s">
        <v>1133</v>
      </c>
      <c r="B257" s="7" t="s">
        <v>1057</v>
      </c>
      <c r="C257" s="7" t="s">
        <v>1048</v>
      </c>
      <c r="D257" s="7" t="s">
        <v>1129</v>
      </c>
      <c r="E257" s="7" t="s">
        <v>1124</v>
      </c>
      <c r="F257" s="7"/>
      <c r="G257" s="10" t="n">
        <v>20000000</v>
      </c>
      <c r="H257" s="11" t="n">
        <v>-0.49</v>
      </c>
      <c r="I257" s="11" t="n">
        <v>-0.21</v>
      </c>
      <c r="J257" s="11" t="n">
        <v>-0.21</v>
      </c>
      <c r="K257" s="11" t="n">
        <v>1.03</v>
      </c>
      <c r="L257" s="11" t="n">
        <v>-0.26</v>
      </c>
      <c r="M257" s="11" t="n">
        <v>1.42</v>
      </c>
      <c r="N257" s="12" t="n">
        <v>10.775648</v>
      </c>
    </row>
    <row r="258" customFormat="false" ht="15" hidden="false" customHeight="false" outlineLevel="0" collapsed="false">
      <c r="A258" s="7" t="s">
        <v>1133</v>
      </c>
      <c r="B258" s="7" t="s">
        <v>1058</v>
      </c>
      <c r="C258" s="7" t="s">
        <v>1048</v>
      </c>
      <c r="D258" s="7" t="s">
        <v>1129</v>
      </c>
      <c r="E258" s="7" t="s">
        <v>1124</v>
      </c>
      <c r="F258" s="7"/>
      <c r="G258" s="10" t="n">
        <v>150000000</v>
      </c>
      <c r="H258" s="11" t="n">
        <v>0</v>
      </c>
      <c r="I258" s="11" t="n">
        <v>0</v>
      </c>
      <c r="J258" s="11" t="n">
        <v>0</v>
      </c>
      <c r="K258" s="11" t="n">
        <v>0</v>
      </c>
      <c r="L258" s="11" t="n">
        <v>0</v>
      </c>
      <c r="M258" s="11" t="n">
        <v>0</v>
      </c>
      <c r="N258" s="12" t="n">
        <v>10.86849</v>
      </c>
    </row>
    <row r="259" customFormat="false" ht="15" hidden="false" customHeight="false" outlineLevel="0" collapsed="false">
      <c r="A259" s="7" t="s">
        <v>1133</v>
      </c>
      <c r="B259" s="7" t="s">
        <v>1071</v>
      </c>
      <c r="C259" s="7" t="s">
        <v>1048</v>
      </c>
      <c r="D259" s="7" t="s">
        <v>1129</v>
      </c>
      <c r="E259" s="7" t="s">
        <v>1124</v>
      </c>
      <c r="F259" s="7"/>
      <c r="G259" s="10" t="n">
        <v>300000000</v>
      </c>
      <c r="H259" s="11" t="n">
        <v>-0.49</v>
      </c>
      <c r="I259" s="11" t="n">
        <v>-0.2</v>
      </c>
      <c r="J259" s="11" t="n">
        <v>-0.2</v>
      </c>
      <c r="K259" s="11" t="n">
        <v>0</v>
      </c>
      <c r="L259" s="11" t="n">
        <v>0</v>
      </c>
      <c r="M259" s="11" t="n">
        <v>0</v>
      </c>
      <c r="N259" s="12" t="n">
        <v>10.434098</v>
      </c>
    </row>
    <row r="260" customFormat="false" ht="15" hidden="false" customHeight="false" outlineLevel="0" collapsed="false">
      <c r="A260" s="7" t="s">
        <v>1134</v>
      </c>
      <c r="B260" s="7" t="s">
        <v>1047</v>
      </c>
      <c r="C260" s="7" t="s">
        <v>1048</v>
      </c>
      <c r="D260" s="7" t="s">
        <v>1129</v>
      </c>
      <c r="E260" s="7" t="s">
        <v>1124</v>
      </c>
      <c r="F260" s="7"/>
      <c r="G260" s="10" t="n">
        <v>0</v>
      </c>
      <c r="H260" s="11" t="n">
        <v>-0.51</v>
      </c>
      <c r="I260" s="11" t="n">
        <v>-0.38</v>
      </c>
      <c r="J260" s="11" t="n">
        <v>-0.38</v>
      </c>
      <c r="K260" s="11" t="n">
        <v>3.7</v>
      </c>
      <c r="L260" s="11" t="n">
        <v>3.23</v>
      </c>
      <c r="M260" s="11" t="n">
        <v>5.31</v>
      </c>
      <c r="N260" s="12" t="n">
        <v>23.978955</v>
      </c>
    </row>
    <row r="261" customFormat="false" ht="15" hidden="false" customHeight="false" outlineLevel="0" collapsed="false">
      <c r="A261" s="7" t="s">
        <v>1134</v>
      </c>
      <c r="B261" s="7" t="s">
        <v>1055</v>
      </c>
      <c r="C261" s="7" t="s">
        <v>1048</v>
      </c>
      <c r="D261" s="7" t="s">
        <v>1129</v>
      </c>
      <c r="E261" s="7" t="s">
        <v>1124</v>
      </c>
      <c r="F261" s="7"/>
      <c r="G261" s="10" t="n">
        <v>500000</v>
      </c>
      <c r="H261" s="11" t="n">
        <v>-0.51</v>
      </c>
      <c r="I261" s="11" t="n">
        <v>-0.38</v>
      </c>
      <c r="J261" s="11" t="n">
        <v>-0.38</v>
      </c>
      <c r="K261" s="11" t="n">
        <v>3.79</v>
      </c>
      <c r="L261" s="11" t="n">
        <v>3.34</v>
      </c>
      <c r="M261" s="11" t="n">
        <v>0</v>
      </c>
      <c r="N261" s="12" t="n">
        <v>22.046852</v>
      </c>
    </row>
    <row r="262" customFormat="false" ht="15" hidden="false" customHeight="false" outlineLevel="0" collapsed="false">
      <c r="A262" s="7" t="s">
        <v>1134</v>
      </c>
      <c r="B262" s="7" t="s">
        <v>1056</v>
      </c>
      <c r="C262" s="7" t="s">
        <v>1048</v>
      </c>
      <c r="D262" s="7" t="s">
        <v>1129</v>
      </c>
      <c r="E262" s="7" t="s">
        <v>1124</v>
      </c>
      <c r="F262" s="7"/>
      <c r="G262" s="10" t="n">
        <v>1000000</v>
      </c>
      <c r="H262" s="11" t="n">
        <v>-0.51</v>
      </c>
      <c r="I262" s="11" t="n">
        <v>-0.37</v>
      </c>
      <c r="J262" s="11" t="n">
        <v>-0.37</v>
      </c>
      <c r="K262" s="11" t="n">
        <v>4.03</v>
      </c>
      <c r="L262" s="11" t="n">
        <v>3.66</v>
      </c>
      <c r="M262" s="11" t="n">
        <v>6.18</v>
      </c>
      <c r="N262" s="12" t="n">
        <v>25.156681</v>
      </c>
    </row>
    <row r="263" customFormat="false" ht="15" hidden="false" customHeight="false" outlineLevel="0" collapsed="false">
      <c r="A263" s="7" t="s">
        <v>1134</v>
      </c>
      <c r="B263" s="7" t="s">
        <v>1057</v>
      </c>
      <c r="C263" s="7" t="s">
        <v>1048</v>
      </c>
      <c r="D263" s="7" t="s">
        <v>1129</v>
      </c>
      <c r="E263" s="7" t="s">
        <v>1124</v>
      </c>
      <c r="F263" s="7"/>
      <c r="G263" s="10" t="n">
        <v>20000000</v>
      </c>
      <c r="H263" s="11" t="n">
        <v>0</v>
      </c>
      <c r="I263" s="11" t="n">
        <v>0</v>
      </c>
      <c r="J263" s="11" t="n">
        <v>0</v>
      </c>
      <c r="K263" s="11" t="n">
        <v>0</v>
      </c>
      <c r="L263" s="11" t="n">
        <v>0</v>
      </c>
      <c r="M263" s="11" t="n">
        <v>0</v>
      </c>
      <c r="N263" s="12" t="n">
        <v>23.456616</v>
      </c>
    </row>
    <row r="264" customFormat="false" ht="15" hidden="false" customHeight="false" outlineLevel="0" collapsed="false">
      <c r="A264" s="7" t="s">
        <v>1134</v>
      </c>
      <c r="B264" s="7" t="s">
        <v>1058</v>
      </c>
      <c r="C264" s="7" t="s">
        <v>1048</v>
      </c>
      <c r="D264" s="7" t="s">
        <v>1129</v>
      </c>
      <c r="E264" s="7" t="s">
        <v>1124</v>
      </c>
      <c r="F264" s="7"/>
      <c r="G264" s="10" t="n">
        <v>150000000</v>
      </c>
      <c r="H264" s="11" t="n">
        <v>0</v>
      </c>
      <c r="I264" s="11" t="n">
        <v>0</v>
      </c>
      <c r="J264" s="11" t="n">
        <v>0</v>
      </c>
      <c r="K264" s="11" t="n">
        <v>0</v>
      </c>
      <c r="L264" s="11" t="n">
        <v>0</v>
      </c>
      <c r="M264" s="11" t="n">
        <v>0</v>
      </c>
      <c r="N264" s="12" t="n">
        <v>19.497633</v>
      </c>
    </row>
    <row r="265" customFormat="false" ht="15" hidden="false" customHeight="false" outlineLevel="0" collapsed="false">
      <c r="A265" s="7" t="s">
        <v>1132</v>
      </c>
      <c r="B265" s="7" t="s">
        <v>1055</v>
      </c>
      <c r="C265" s="7" t="s">
        <v>1048</v>
      </c>
      <c r="D265" s="7" t="s">
        <v>1129</v>
      </c>
      <c r="E265" s="7" t="s">
        <v>1129</v>
      </c>
      <c r="F265" s="7"/>
      <c r="G265" s="10" t="n">
        <v>0</v>
      </c>
      <c r="H265" s="11" t="n">
        <v>-0.52</v>
      </c>
      <c r="I265" s="11" t="n">
        <v>0.04</v>
      </c>
      <c r="J265" s="11" t="n">
        <v>0.04</v>
      </c>
      <c r="K265" s="11" t="n">
        <v>-2.61</v>
      </c>
      <c r="L265" s="11" t="n">
        <v>-2.23</v>
      </c>
      <c r="M265" s="11" t="n">
        <v>0.79</v>
      </c>
      <c r="N265" s="12" t="n">
        <v>0.520402</v>
      </c>
    </row>
    <row r="266" customFormat="false" ht="15" hidden="false" customHeight="false" outlineLevel="0" collapsed="false">
      <c r="A266" s="7" t="s">
        <v>1132</v>
      </c>
      <c r="B266" s="7" t="s">
        <v>1056</v>
      </c>
      <c r="C266" s="7" t="s">
        <v>1048</v>
      </c>
      <c r="D266" s="7" t="s">
        <v>1129</v>
      </c>
      <c r="E266" s="7" t="s">
        <v>1129</v>
      </c>
      <c r="F266" s="7"/>
      <c r="G266" s="10" t="n">
        <v>1000000</v>
      </c>
      <c r="H266" s="11" t="n">
        <v>-0.51</v>
      </c>
      <c r="I266" s="11" t="n">
        <v>0.05</v>
      </c>
      <c r="J266" s="11" t="n">
        <v>0.05</v>
      </c>
      <c r="K266" s="11" t="n">
        <v>-2.26</v>
      </c>
      <c r="L266" s="11" t="n">
        <v>-1.78</v>
      </c>
      <c r="M266" s="11" t="n">
        <v>1.73</v>
      </c>
      <c r="N266" s="12" t="n">
        <v>0.520551</v>
      </c>
    </row>
    <row r="267" customFormat="false" ht="15" hidden="false" customHeight="false" outlineLevel="0" collapsed="false">
      <c r="A267" s="7" t="s">
        <v>1132</v>
      </c>
      <c r="B267" s="7" t="s">
        <v>1057</v>
      </c>
      <c r="C267" s="7" t="s">
        <v>1048</v>
      </c>
      <c r="D267" s="7" t="s">
        <v>1129</v>
      </c>
      <c r="E267" s="7" t="s">
        <v>1129</v>
      </c>
      <c r="F267" s="7"/>
      <c r="G267" s="10" t="n">
        <v>20000000</v>
      </c>
      <c r="H267" s="11" t="n">
        <v>-0.51</v>
      </c>
      <c r="I267" s="11" t="n">
        <v>0.06</v>
      </c>
      <c r="J267" s="11" t="n">
        <v>0.06</v>
      </c>
      <c r="K267" s="11" t="n">
        <v>-1.91</v>
      </c>
      <c r="L267" s="11" t="n">
        <v>-1.32</v>
      </c>
      <c r="M267" s="11" t="n">
        <v>2.68</v>
      </c>
      <c r="N267" s="12" t="n">
        <v>0.531323</v>
      </c>
    </row>
    <row r="268" customFormat="false" ht="15" hidden="false" customHeight="false" outlineLevel="0" collapsed="false">
      <c r="A268" s="7" t="s">
        <v>1132</v>
      </c>
      <c r="B268" s="7" t="s">
        <v>1058</v>
      </c>
      <c r="C268" s="7" t="s">
        <v>1048</v>
      </c>
      <c r="D268" s="7" t="s">
        <v>1129</v>
      </c>
      <c r="E268" s="7" t="s">
        <v>1129</v>
      </c>
      <c r="F268" s="7"/>
      <c r="G268" s="10" t="n">
        <v>150000000</v>
      </c>
      <c r="H268" s="11" t="n">
        <v>-0.51</v>
      </c>
      <c r="I268" s="11" t="n">
        <v>0.06</v>
      </c>
      <c r="J268" s="11" t="n">
        <v>0.06</v>
      </c>
      <c r="K268" s="11" t="n">
        <v>-1.56</v>
      </c>
      <c r="L268" s="11" t="n">
        <v>-0.86</v>
      </c>
      <c r="M268" s="11" t="n">
        <v>3.64</v>
      </c>
      <c r="N268" s="12" t="n">
        <v>0.552298</v>
      </c>
    </row>
    <row r="269" customFormat="false" ht="15" hidden="false" customHeight="false" outlineLevel="0" collapsed="false">
      <c r="A269" s="7" t="s">
        <v>1132</v>
      </c>
      <c r="B269" s="7" t="s">
        <v>1071</v>
      </c>
      <c r="C269" s="7" t="s">
        <v>1048</v>
      </c>
      <c r="D269" s="7" t="s">
        <v>1129</v>
      </c>
      <c r="E269" s="7" t="s">
        <v>1129</v>
      </c>
      <c r="F269" s="7"/>
      <c r="G269" s="10" t="n">
        <v>300000000</v>
      </c>
      <c r="H269" s="11" t="n">
        <v>-0.51</v>
      </c>
      <c r="I269" s="11" t="n">
        <v>0.07</v>
      </c>
      <c r="J269" s="11" t="n">
        <v>0.07</v>
      </c>
      <c r="K269" s="11" t="n">
        <v>-1.3</v>
      </c>
      <c r="L269" s="11" t="n">
        <v>-0.52</v>
      </c>
      <c r="M269" s="11" t="n">
        <v>4.36</v>
      </c>
      <c r="N269" s="12" t="n">
        <v>0.562457</v>
      </c>
    </row>
    <row r="270" customFormat="false" ht="15" hidden="false" customHeight="false" outlineLevel="0" collapsed="false">
      <c r="A270" s="7" t="s">
        <v>1133</v>
      </c>
      <c r="B270" s="7" t="s">
        <v>1055</v>
      </c>
      <c r="C270" s="7" t="s">
        <v>1048</v>
      </c>
      <c r="D270" s="7" t="s">
        <v>1129</v>
      </c>
      <c r="E270" s="7" t="s">
        <v>1129</v>
      </c>
      <c r="F270" s="7"/>
      <c r="G270" s="10" t="n">
        <v>0</v>
      </c>
      <c r="H270" s="11" t="n">
        <v>-0.56</v>
      </c>
      <c r="I270" s="11" t="n">
        <v>0.31</v>
      </c>
      <c r="J270" s="11" t="n">
        <v>0.31</v>
      </c>
      <c r="K270" s="11" t="n">
        <v>0.45</v>
      </c>
      <c r="L270" s="11" t="n">
        <v>1.08</v>
      </c>
      <c r="M270" s="11" t="n">
        <v>6.87</v>
      </c>
      <c r="N270" s="12" t="n">
        <v>0.582304</v>
      </c>
    </row>
    <row r="271" customFormat="false" ht="15" hidden="false" customHeight="false" outlineLevel="0" collapsed="false">
      <c r="A271" s="7" t="s">
        <v>1133</v>
      </c>
      <c r="B271" s="7" t="s">
        <v>1056</v>
      </c>
      <c r="C271" s="7" t="s">
        <v>1048</v>
      </c>
      <c r="D271" s="7" t="s">
        <v>1129</v>
      </c>
      <c r="E271" s="7" t="s">
        <v>1129</v>
      </c>
      <c r="F271" s="7"/>
      <c r="G271" s="10" t="n">
        <v>1000000</v>
      </c>
      <c r="H271" s="11" t="n">
        <v>-0.56</v>
      </c>
      <c r="I271" s="11" t="n">
        <v>0.32</v>
      </c>
      <c r="J271" s="11" t="n">
        <v>0.32</v>
      </c>
      <c r="K271" s="11" t="n">
        <v>0.8</v>
      </c>
      <c r="L271" s="11" t="n">
        <v>1.55</v>
      </c>
      <c r="M271" s="11" t="n">
        <v>7.86</v>
      </c>
      <c r="N271" s="12" t="n">
        <v>0.583097</v>
      </c>
    </row>
    <row r="272" customFormat="false" ht="15" hidden="false" customHeight="false" outlineLevel="0" collapsed="false">
      <c r="A272" s="7" t="s">
        <v>1133</v>
      </c>
      <c r="B272" s="7" t="s">
        <v>1057</v>
      </c>
      <c r="C272" s="7" t="s">
        <v>1048</v>
      </c>
      <c r="D272" s="7" t="s">
        <v>1129</v>
      </c>
      <c r="E272" s="7" t="s">
        <v>1129</v>
      </c>
      <c r="F272" s="7"/>
      <c r="G272" s="10" t="n">
        <v>20000000</v>
      </c>
      <c r="H272" s="11" t="n">
        <v>-0.56</v>
      </c>
      <c r="I272" s="11" t="n">
        <v>0.33</v>
      </c>
      <c r="J272" s="11" t="n">
        <v>0.33</v>
      </c>
      <c r="K272" s="11" t="n">
        <v>1.16</v>
      </c>
      <c r="L272" s="11" t="n">
        <v>2.02</v>
      </c>
      <c r="M272" s="11" t="n">
        <v>8.87</v>
      </c>
      <c r="N272" s="12" t="n">
        <v>0.599563</v>
      </c>
    </row>
    <row r="273" customFormat="false" ht="15" hidden="false" customHeight="false" outlineLevel="0" collapsed="false">
      <c r="A273" s="7" t="s">
        <v>1133</v>
      </c>
      <c r="B273" s="7" t="s">
        <v>1058</v>
      </c>
      <c r="C273" s="7" t="s">
        <v>1048</v>
      </c>
      <c r="D273" s="7" t="s">
        <v>1129</v>
      </c>
      <c r="E273" s="7" t="s">
        <v>1129</v>
      </c>
      <c r="F273" s="7"/>
      <c r="G273" s="10" t="n">
        <v>150000000</v>
      </c>
      <c r="H273" s="11" t="n">
        <v>0</v>
      </c>
      <c r="I273" s="11" t="n">
        <v>0</v>
      </c>
      <c r="J273" s="11" t="n">
        <v>0</v>
      </c>
      <c r="K273" s="11" t="n">
        <v>0</v>
      </c>
      <c r="L273" s="11" t="n">
        <v>0</v>
      </c>
      <c r="M273" s="11" t="n">
        <v>0</v>
      </c>
      <c r="N273" s="12" t="n">
        <v>0.604729</v>
      </c>
    </row>
    <row r="274" customFormat="false" ht="15" hidden="false" customHeight="false" outlineLevel="0" collapsed="false">
      <c r="A274" s="7" t="s">
        <v>1133</v>
      </c>
      <c r="B274" s="7" t="s">
        <v>1071</v>
      </c>
      <c r="C274" s="7" t="s">
        <v>1048</v>
      </c>
      <c r="D274" s="7" t="s">
        <v>1129</v>
      </c>
      <c r="E274" s="7" t="s">
        <v>1129</v>
      </c>
      <c r="F274" s="7"/>
      <c r="G274" s="10" t="n">
        <v>300000000</v>
      </c>
      <c r="H274" s="11" t="n">
        <v>-0.55</v>
      </c>
      <c r="I274" s="11" t="n">
        <v>0.34</v>
      </c>
      <c r="J274" s="11" t="n">
        <v>0.34</v>
      </c>
      <c r="K274" s="11" t="n">
        <v>0</v>
      </c>
      <c r="L274" s="11" t="n">
        <v>0</v>
      </c>
      <c r="M274" s="11" t="n">
        <v>0</v>
      </c>
      <c r="N274" s="12" t="n">
        <v>0.580559</v>
      </c>
    </row>
    <row r="275" customFormat="false" ht="15" hidden="false" customHeight="false" outlineLevel="0" collapsed="false">
      <c r="A275" s="7" t="s">
        <v>1046</v>
      </c>
      <c r="B275" s="7" t="s">
        <v>1135</v>
      </c>
      <c r="C275" s="7" t="s">
        <v>1136</v>
      </c>
      <c r="D275" s="7" t="s">
        <v>1049</v>
      </c>
      <c r="E275" s="7" t="s">
        <v>56</v>
      </c>
      <c r="F275" s="7" t="s">
        <v>1050</v>
      </c>
      <c r="G275" s="10" t="n">
        <v>5000</v>
      </c>
      <c r="H275" s="11" t="n">
        <v>5.75</v>
      </c>
      <c r="I275" s="11" t="n">
        <v>5.76</v>
      </c>
      <c r="J275" s="11" t="n">
        <v>5.76</v>
      </c>
      <c r="K275" s="11" t="n">
        <v>5.93</v>
      </c>
      <c r="L275" s="11" t="n">
        <v>6.2</v>
      </c>
      <c r="M275" s="11" t="n">
        <v>7.59</v>
      </c>
      <c r="N275" s="12" t="n">
        <v>0.270335</v>
      </c>
    </row>
    <row r="276" customFormat="false" ht="15" hidden="false" customHeight="false" outlineLevel="0" collapsed="false">
      <c r="A276" s="7" t="s">
        <v>1051</v>
      </c>
      <c r="B276" s="7" t="s">
        <v>1135</v>
      </c>
      <c r="C276" s="7" t="s">
        <v>1136</v>
      </c>
      <c r="D276" s="7" t="s">
        <v>1049</v>
      </c>
      <c r="E276" s="7" t="s">
        <v>56</v>
      </c>
      <c r="F276" s="7" t="s">
        <v>1053</v>
      </c>
      <c r="G276" s="10" t="n">
        <v>0</v>
      </c>
      <c r="H276" s="11" t="n">
        <v>5.67</v>
      </c>
      <c r="I276" s="11" t="n">
        <v>6.76</v>
      </c>
      <c r="J276" s="11" t="n">
        <v>6.76</v>
      </c>
      <c r="K276" s="11" t="n">
        <v>5.26</v>
      </c>
      <c r="L276" s="11" t="n">
        <v>5.46</v>
      </c>
      <c r="M276" s="11" t="n">
        <v>6.86</v>
      </c>
      <c r="N276" s="12" t="n">
        <v>58.12014</v>
      </c>
    </row>
    <row r="277" customFormat="false" ht="15" hidden="false" customHeight="false" outlineLevel="0" collapsed="false">
      <c r="A277" s="7" t="s">
        <v>1051</v>
      </c>
      <c r="B277" s="7" t="s">
        <v>1137</v>
      </c>
      <c r="C277" s="7" t="s">
        <v>1136</v>
      </c>
      <c r="D277" s="7" t="s">
        <v>1049</v>
      </c>
      <c r="E277" s="7" t="s">
        <v>56</v>
      </c>
      <c r="F277" s="7" t="s">
        <v>1053</v>
      </c>
      <c r="G277" s="10" t="n">
        <v>5000000</v>
      </c>
      <c r="H277" s="11" t="n">
        <v>6.08</v>
      </c>
      <c r="I277" s="11" t="n">
        <v>7.18</v>
      </c>
      <c r="J277" s="11" t="n">
        <v>7.18</v>
      </c>
      <c r="K277" s="11" t="n">
        <v>5.67</v>
      </c>
      <c r="L277" s="11" t="n">
        <v>5.87</v>
      </c>
      <c r="M277" s="11" t="n">
        <v>7.26</v>
      </c>
      <c r="N277" s="12" t="n">
        <v>61.464729</v>
      </c>
    </row>
    <row r="278" customFormat="false" ht="15" hidden="false" customHeight="false" outlineLevel="0" collapsed="false">
      <c r="A278" s="7" t="s">
        <v>1051</v>
      </c>
      <c r="B278" s="7" t="s">
        <v>1138</v>
      </c>
      <c r="C278" s="7" t="s">
        <v>1136</v>
      </c>
      <c r="D278" s="7" t="s">
        <v>1049</v>
      </c>
      <c r="E278" s="7" t="s">
        <v>56</v>
      </c>
      <c r="F278" s="7" t="s">
        <v>1053</v>
      </c>
      <c r="G278" s="10" t="n">
        <v>50000000</v>
      </c>
      <c r="H278" s="11" t="n">
        <v>6.35</v>
      </c>
      <c r="I278" s="11" t="n">
        <v>7.44</v>
      </c>
      <c r="J278" s="11" t="n">
        <v>7.44</v>
      </c>
      <c r="K278" s="11" t="n">
        <v>5.92</v>
      </c>
      <c r="L278" s="11" t="n">
        <v>6.12</v>
      </c>
      <c r="M278" s="11" t="n">
        <v>7.52</v>
      </c>
      <c r="N278" s="12" t="n">
        <v>62.780703</v>
      </c>
    </row>
    <row r="279" customFormat="false" ht="15" hidden="false" customHeight="false" outlineLevel="0" collapsed="false">
      <c r="A279" s="7" t="s">
        <v>1139</v>
      </c>
      <c r="B279" s="7" t="s">
        <v>1135</v>
      </c>
      <c r="C279" s="7" t="s">
        <v>1136</v>
      </c>
      <c r="D279" s="7" t="s">
        <v>1049</v>
      </c>
      <c r="E279" s="7" t="s">
        <v>56</v>
      </c>
      <c r="F279" s="7" t="s">
        <v>1050</v>
      </c>
      <c r="G279" s="10" t="n">
        <v>0</v>
      </c>
      <c r="H279" s="11" t="n">
        <v>5.03</v>
      </c>
      <c r="I279" s="11" t="n">
        <v>5.02</v>
      </c>
      <c r="J279" s="11" t="n">
        <v>5.02</v>
      </c>
      <c r="K279" s="11" t="n">
        <v>5.22</v>
      </c>
      <c r="L279" s="11" t="n">
        <v>5.5</v>
      </c>
      <c r="M279" s="11" t="n">
        <v>6.86</v>
      </c>
      <c r="N279" s="12" t="n">
        <v>21.127215</v>
      </c>
    </row>
    <row r="280" customFormat="false" ht="15" hidden="false" customHeight="false" outlineLevel="0" collapsed="false">
      <c r="A280" s="7" t="s">
        <v>1139</v>
      </c>
      <c r="B280" s="7" t="s">
        <v>1137</v>
      </c>
      <c r="C280" s="7" t="s">
        <v>1136</v>
      </c>
      <c r="D280" s="7" t="s">
        <v>1049</v>
      </c>
      <c r="E280" s="7" t="s">
        <v>56</v>
      </c>
      <c r="F280" s="7" t="s">
        <v>1050</v>
      </c>
      <c r="G280" s="10" t="n">
        <v>150000000</v>
      </c>
      <c r="H280" s="11" t="n">
        <v>5.18</v>
      </c>
      <c r="I280" s="11" t="n">
        <v>5.16</v>
      </c>
      <c r="J280" s="11" t="n">
        <v>5.16</v>
      </c>
      <c r="K280" s="11" t="n">
        <v>5.37</v>
      </c>
      <c r="L280" s="11" t="n">
        <v>5.65</v>
      </c>
      <c r="M280" s="11" t="n">
        <v>7.02</v>
      </c>
      <c r="N280" s="12" t="n">
        <v>20.391307</v>
      </c>
    </row>
    <row r="281" customFormat="false" ht="15" hidden="false" customHeight="false" outlineLevel="0" collapsed="false">
      <c r="A281" s="7" t="s">
        <v>1140</v>
      </c>
      <c r="B281" s="7" t="s">
        <v>1135</v>
      </c>
      <c r="C281" s="7" t="s">
        <v>1136</v>
      </c>
      <c r="D281" s="7" t="s">
        <v>1049</v>
      </c>
      <c r="E281" s="7" t="s">
        <v>56</v>
      </c>
      <c r="F281" s="7" t="s">
        <v>1050</v>
      </c>
      <c r="G281" s="10" t="n">
        <v>0</v>
      </c>
      <c r="H281" s="11" t="n">
        <v>4.58</v>
      </c>
      <c r="I281" s="11" t="n">
        <v>4.66</v>
      </c>
      <c r="J281" s="11" t="n">
        <v>4.66</v>
      </c>
      <c r="K281" s="11" t="n">
        <v>4.83</v>
      </c>
      <c r="L281" s="11" t="n">
        <v>5.1</v>
      </c>
      <c r="M281" s="11" t="n">
        <v>6.48</v>
      </c>
      <c r="N281" s="12" t="n">
        <v>64.030049</v>
      </c>
    </row>
    <row r="282" customFormat="false" ht="15" hidden="false" customHeight="false" outlineLevel="0" collapsed="false">
      <c r="A282" s="7" t="s">
        <v>1140</v>
      </c>
      <c r="B282" s="7" t="s">
        <v>1137</v>
      </c>
      <c r="C282" s="7" t="s">
        <v>1136</v>
      </c>
      <c r="D282" s="7" t="s">
        <v>1049</v>
      </c>
      <c r="E282" s="7" t="s">
        <v>56</v>
      </c>
      <c r="F282" s="7" t="s">
        <v>1050</v>
      </c>
      <c r="G282" s="10" t="n">
        <v>15000000</v>
      </c>
      <c r="H282" s="11" t="n">
        <v>5.17</v>
      </c>
      <c r="I282" s="11" t="n">
        <v>5.25</v>
      </c>
      <c r="J282" s="11" t="n">
        <v>5.25</v>
      </c>
      <c r="K282" s="11" t="n">
        <v>5.41</v>
      </c>
      <c r="L282" s="11" t="n">
        <v>5.68</v>
      </c>
      <c r="M282" s="11" t="n">
        <v>7.04</v>
      </c>
      <c r="N282" s="12" t="n">
        <v>71.548941</v>
      </c>
    </row>
    <row r="283" customFormat="false" ht="15" hidden="false" customHeight="false" outlineLevel="0" collapsed="false">
      <c r="A283" s="7" t="s">
        <v>1140</v>
      </c>
      <c r="B283" s="7" t="s">
        <v>1138</v>
      </c>
      <c r="C283" s="7" t="s">
        <v>1136</v>
      </c>
      <c r="D283" s="7" t="s">
        <v>1049</v>
      </c>
      <c r="E283" s="7" t="s">
        <v>56</v>
      </c>
      <c r="F283" s="7" t="s">
        <v>1050</v>
      </c>
      <c r="G283" s="10" t="n">
        <v>100000000</v>
      </c>
      <c r="H283" s="11" t="n">
        <v>5.44</v>
      </c>
      <c r="I283" s="11" t="n">
        <v>5.53</v>
      </c>
      <c r="J283" s="11" t="n">
        <v>5.53</v>
      </c>
      <c r="K283" s="11" t="n">
        <v>5.68</v>
      </c>
      <c r="L283" s="11" t="n">
        <v>5.95</v>
      </c>
      <c r="M283" s="11" t="n">
        <v>7.31</v>
      </c>
      <c r="N283" s="12" t="n">
        <v>73.925764</v>
      </c>
    </row>
    <row r="284" customFormat="false" ht="15" hidden="false" customHeight="false" outlineLevel="0" collapsed="false">
      <c r="A284" s="7" t="s">
        <v>1140</v>
      </c>
      <c r="B284" s="7" t="s">
        <v>1141</v>
      </c>
      <c r="C284" s="7" t="s">
        <v>1136</v>
      </c>
      <c r="D284" s="7" t="s">
        <v>1049</v>
      </c>
      <c r="E284" s="7" t="s">
        <v>56</v>
      </c>
      <c r="F284" s="7" t="s">
        <v>1050</v>
      </c>
      <c r="G284" s="10" t="n">
        <v>0</v>
      </c>
      <c r="H284" s="11" t="n">
        <v>5.84</v>
      </c>
      <c r="I284" s="11" t="n">
        <v>5.92</v>
      </c>
      <c r="J284" s="11" t="n">
        <v>5.92</v>
      </c>
      <c r="K284" s="11" t="n">
        <v>6.08</v>
      </c>
      <c r="L284" s="11" t="n">
        <v>6.35</v>
      </c>
      <c r="M284" s="11" t="n">
        <v>7.72</v>
      </c>
      <c r="N284" s="12" t="n">
        <v>72.987346</v>
      </c>
    </row>
    <row r="285" customFormat="false" ht="15" hidden="false" customHeight="false" outlineLevel="0" collapsed="false">
      <c r="A285" s="7" t="s">
        <v>1059</v>
      </c>
      <c r="B285" s="7" t="s">
        <v>1135</v>
      </c>
      <c r="C285" s="7" t="s">
        <v>1136</v>
      </c>
      <c r="D285" s="7" t="s">
        <v>1049</v>
      </c>
      <c r="E285" s="7" t="s">
        <v>56</v>
      </c>
      <c r="F285" s="7" t="s">
        <v>1050</v>
      </c>
      <c r="G285" s="10" t="n">
        <v>0</v>
      </c>
      <c r="H285" s="11" t="n">
        <v>5.28</v>
      </c>
      <c r="I285" s="11" t="n">
        <v>5.39</v>
      </c>
      <c r="J285" s="11" t="n">
        <v>5.39</v>
      </c>
      <c r="K285" s="11" t="n">
        <v>5.58</v>
      </c>
      <c r="L285" s="11" t="n">
        <v>5.84</v>
      </c>
      <c r="M285" s="11" t="n">
        <v>7.19</v>
      </c>
      <c r="N285" s="12" t="n">
        <v>24.877489</v>
      </c>
    </row>
    <row r="286" customFormat="false" ht="15" hidden="false" customHeight="false" outlineLevel="0" collapsed="false">
      <c r="A286" s="7" t="s">
        <v>1059</v>
      </c>
      <c r="B286" s="7" t="s">
        <v>1141</v>
      </c>
      <c r="C286" s="7" t="s">
        <v>1136</v>
      </c>
      <c r="D286" s="7" t="s">
        <v>1049</v>
      </c>
      <c r="E286" s="7" t="s">
        <v>56</v>
      </c>
      <c r="F286" s="7" t="s">
        <v>1050</v>
      </c>
      <c r="G286" s="10" t="n">
        <v>0</v>
      </c>
      <c r="H286" s="11" t="n">
        <v>0</v>
      </c>
      <c r="I286" s="11" t="n">
        <v>0</v>
      </c>
      <c r="J286" s="11" t="n">
        <v>0</v>
      </c>
      <c r="K286" s="11" t="n">
        <v>0</v>
      </c>
      <c r="L286" s="11" t="n">
        <v>0</v>
      </c>
      <c r="M286" s="11" t="n">
        <v>0</v>
      </c>
      <c r="N286" s="12" t="n">
        <v>17.458099</v>
      </c>
    </row>
    <row r="287" customFormat="false" ht="15" hidden="false" customHeight="false" outlineLevel="0" collapsed="false">
      <c r="A287" s="7" t="s">
        <v>1060</v>
      </c>
      <c r="B287" s="7" t="s">
        <v>1047</v>
      </c>
      <c r="C287" s="7" t="s">
        <v>1136</v>
      </c>
      <c r="D287" s="7" t="s">
        <v>1049</v>
      </c>
      <c r="E287" s="7" t="s">
        <v>56</v>
      </c>
      <c r="F287" s="7" t="s">
        <v>1050</v>
      </c>
      <c r="G287" s="10" t="n">
        <v>0</v>
      </c>
      <c r="H287" s="11" t="n">
        <v>3.45</v>
      </c>
      <c r="I287" s="11" t="n">
        <v>3.42</v>
      </c>
      <c r="J287" s="11" t="n">
        <v>3.42</v>
      </c>
      <c r="K287" s="11" t="n">
        <v>3.57</v>
      </c>
      <c r="L287" s="11" t="n">
        <v>3.86</v>
      </c>
      <c r="M287" s="11" t="n">
        <v>5.27</v>
      </c>
      <c r="N287" s="12" t="n">
        <v>37.363397</v>
      </c>
    </row>
    <row r="288" customFormat="false" ht="15" hidden="false" customHeight="false" outlineLevel="0" collapsed="false">
      <c r="A288" s="7" t="s">
        <v>1060</v>
      </c>
      <c r="B288" s="7" t="s">
        <v>1142</v>
      </c>
      <c r="C288" s="7" t="s">
        <v>1136</v>
      </c>
      <c r="D288" s="7" t="s">
        <v>1049</v>
      </c>
      <c r="E288" s="7" t="s">
        <v>56</v>
      </c>
      <c r="F288" s="7" t="s">
        <v>1050</v>
      </c>
      <c r="G288" s="10" t="n">
        <v>500000</v>
      </c>
      <c r="H288" s="11" t="n">
        <v>4.43</v>
      </c>
      <c r="I288" s="11" t="n">
        <v>4.4</v>
      </c>
      <c r="J288" s="11" t="n">
        <v>4.4</v>
      </c>
      <c r="K288" s="11" t="n">
        <v>4.55</v>
      </c>
      <c r="L288" s="11" t="n">
        <v>4.82</v>
      </c>
      <c r="M288" s="11" t="n">
        <v>6.22</v>
      </c>
      <c r="N288" s="12" t="n">
        <v>43.122621</v>
      </c>
    </row>
    <row r="289" customFormat="false" ht="15" hidden="false" customHeight="false" outlineLevel="0" collapsed="false">
      <c r="A289" s="7" t="s">
        <v>1060</v>
      </c>
      <c r="B289" s="7" t="s">
        <v>1143</v>
      </c>
      <c r="C289" s="7" t="s">
        <v>1136</v>
      </c>
      <c r="D289" s="7" t="s">
        <v>1049</v>
      </c>
      <c r="E289" s="7" t="s">
        <v>56</v>
      </c>
      <c r="F289" s="7" t="s">
        <v>1050</v>
      </c>
      <c r="G289" s="10" t="n">
        <v>2000000</v>
      </c>
      <c r="H289" s="11" t="n">
        <v>4.78</v>
      </c>
      <c r="I289" s="11" t="n">
        <v>4.75</v>
      </c>
      <c r="J289" s="11" t="n">
        <v>4.75</v>
      </c>
      <c r="K289" s="11" t="n">
        <v>4.9</v>
      </c>
      <c r="L289" s="11" t="n">
        <v>5.17</v>
      </c>
      <c r="M289" s="11" t="n">
        <v>6.56</v>
      </c>
      <c r="N289" s="12" t="n">
        <v>45.327402</v>
      </c>
    </row>
    <row r="290" customFormat="false" ht="15" hidden="false" customHeight="false" outlineLevel="0" collapsed="false">
      <c r="A290" s="7" t="s">
        <v>1060</v>
      </c>
      <c r="B290" s="7" t="s">
        <v>1144</v>
      </c>
      <c r="C290" s="7" t="s">
        <v>1136</v>
      </c>
      <c r="D290" s="7" t="s">
        <v>1049</v>
      </c>
      <c r="E290" s="7" t="s">
        <v>56</v>
      </c>
      <c r="F290" s="7" t="s">
        <v>1050</v>
      </c>
      <c r="G290" s="10" t="n">
        <v>3000000</v>
      </c>
      <c r="H290" s="11" t="n">
        <v>4.8</v>
      </c>
      <c r="I290" s="11" t="n">
        <v>4.76</v>
      </c>
      <c r="J290" s="11" t="n">
        <v>4.76</v>
      </c>
      <c r="K290" s="11" t="n">
        <v>4.91</v>
      </c>
      <c r="L290" s="11" t="n">
        <v>5.18</v>
      </c>
      <c r="M290" s="11" t="n">
        <v>6.58</v>
      </c>
      <c r="N290" s="12" t="n">
        <v>45.564234</v>
      </c>
    </row>
    <row r="291" customFormat="false" ht="15" hidden="false" customHeight="false" outlineLevel="0" collapsed="false">
      <c r="A291" s="7" t="s">
        <v>1060</v>
      </c>
      <c r="B291" s="7" t="s">
        <v>1145</v>
      </c>
      <c r="C291" s="7" t="s">
        <v>1136</v>
      </c>
      <c r="D291" s="7" t="s">
        <v>1049</v>
      </c>
      <c r="E291" s="7" t="s">
        <v>56</v>
      </c>
      <c r="F291" s="7" t="s">
        <v>1050</v>
      </c>
      <c r="G291" s="10" t="n">
        <v>5000000</v>
      </c>
      <c r="H291" s="11" t="n">
        <v>4.82</v>
      </c>
      <c r="I291" s="11" t="n">
        <v>4.79</v>
      </c>
      <c r="J291" s="11" t="n">
        <v>4.79</v>
      </c>
      <c r="K291" s="11" t="n">
        <v>4.93</v>
      </c>
      <c r="L291" s="11" t="n">
        <v>5.2</v>
      </c>
      <c r="M291" s="11" t="n">
        <v>6.6</v>
      </c>
      <c r="N291" s="12" t="n">
        <v>45.997531</v>
      </c>
    </row>
    <row r="292" customFormat="false" ht="15" hidden="false" customHeight="false" outlineLevel="0" collapsed="false">
      <c r="A292" s="7" t="s">
        <v>1060</v>
      </c>
      <c r="B292" s="7" t="s">
        <v>1146</v>
      </c>
      <c r="C292" s="7" t="s">
        <v>1136</v>
      </c>
      <c r="D292" s="7" t="s">
        <v>1049</v>
      </c>
      <c r="E292" s="7" t="s">
        <v>56</v>
      </c>
      <c r="F292" s="7" t="s">
        <v>1050</v>
      </c>
      <c r="G292" s="10" t="n">
        <v>10000000</v>
      </c>
      <c r="H292" s="11" t="n">
        <v>4.84</v>
      </c>
      <c r="I292" s="11" t="n">
        <v>4.8</v>
      </c>
      <c r="J292" s="11" t="n">
        <v>4.8</v>
      </c>
      <c r="K292" s="11" t="n">
        <v>4.95</v>
      </c>
      <c r="L292" s="11" t="n">
        <v>5.22</v>
      </c>
      <c r="M292" s="11" t="n">
        <v>6.61</v>
      </c>
      <c r="N292" s="12" t="n">
        <v>46.188489</v>
      </c>
    </row>
    <row r="293" customFormat="false" ht="15" hidden="false" customHeight="false" outlineLevel="0" collapsed="false">
      <c r="A293" s="7" t="s">
        <v>1060</v>
      </c>
      <c r="B293" s="7" t="s">
        <v>1147</v>
      </c>
      <c r="C293" s="7" t="s">
        <v>1136</v>
      </c>
      <c r="D293" s="7" t="s">
        <v>1049</v>
      </c>
      <c r="E293" s="7" t="s">
        <v>56</v>
      </c>
      <c r="F293" s="7" t="s">
        <v>1050</v>
      </c>
      <c r="G293" s="10" t="n">
        <v>20000000</v>
      </c>
      <c r="H293" s="11" t="n">
        <v>5.14</v>
      </c>
      <c r="I293" s="11" t="n">
        <v>5.1</v>
      </c>
      <c r="J293" s="11" t="n">
        <v>5.1</v>
      </c>
      <c r="K293" s="11" t="n">
        <v>5.25</v>
      </c>
      <c r="L293" s="11" t="n">
        <v>5.52</v>
      </c>
      <c r="M293" s="11" t="n">
        <v>6.91</v>
      </c>
      <c r="N293" s="12" t="n">
        <v>48.223687</v>
      </c>
    </row>
    <row r="294" customFormat="false" ht="15" hidden="false" customHeight="false" outlineLevel="0" collapsed="false">
      <c r="A294" s="7" t="s">
        <v>1065</v>
      </c>
      <c r="B294" s="7" t="s">
        <v>1135</v>
      </c>
      <c r="C294" s="7" t="s">
        <v>1136</v>
      </c>
      <c r="D294" s="7" t="s">
        <v>1049</v>
      </c>
      <c r="E294" s="7" t="s">
        <v>56</v>
      </c>
      <c r="F294" s="7" t="s">
        <v>1067</v>
      </c>
      <c r="G294" s="10" t="n">
        <v>0</v>
      </c>
      <c r="H294" s="11" t="n">
        <v>5.8</v>
      </c>
      <c r="I294" s="11" t="n">
        <v>6.07</v>
      </c>
      <c r="J294" s="11" t="n">
        <v>6.07</v>
      </c>
      <c r="K294" s="11" t="n">
        <v>5.48</v>
      </c>
      <c r="L294" s="11" t="n">
        <v>5.71</v>
      </c>
      <c r="M294" s="11" t="n">
        <v>7.02</v>
      </c>
      <c r="N294" s="12" t="n">
        <v>19.869925</v>
      </c>
    </row>
    <row r="295" customFormat="false" ht="15" hidden="false" customHeight="false" outlineLevel="0" collapsed="false">
      <c r="A295" s="7" t="s">
        <v>1148</v>
      </c>
      <c r="B295" s="7" t="s">
        <v>1135</v>
      </c>
      <c r="C295" s="7" t="s">
        <v>1136</v>
      </c>
      <c r="D295" s="7" t="s">
        <v>1049</v>
      </c>
      <c r="E295" s="7" t="s">
        <v>56</v>
      </c>
      <c r="F295" s="7" t="s">
        <v>1050</v>
      </c>
      <c r="G295" s="10" t="n">
        <v>0</v>
      </c>
      <c r="H295" s="11" t="n">
        <v>4.75</v>
      </c>
      <c r="I295" s="11" t="n">
        <v>4.77</v>
      </c>
      <c r="J295" s="11" t="n">
        <v>4.77</v>
      </c>
      <c r="K295" s="11" t="n">
        <v>4.87</v>
      </c>
      <c r="L295" s="11" t="n">
        <v>5.15</v>
      </c>
      <c r="M295" s="11" t="n">
        <v>6.55</v>
      </c>
      <c r="N295" s="12" t="n">
        <v>239.803103</v>
      </c>
    </row>
    <row r="296" customFormat="false" ht="15" hidden="false" customHeight="false" outlineLevel="0" collapsed="false">
      <c r="A296" s="7" t="s">
        <v>1148</v>
      </c>
      <c r="B296" s="7" t="s">
        <v>1137</v>
      </c>
      <c r="C296" s="7" t="s">
        <v>1136</v>
      </c>
      <c r="D296" s="7" t="s">
        <v>1049</v>
      </c>
      <c r="E296" s="7" t="s">
        <v>56</v>
      </c>
      <c r="F296" s="7" t="s">
        <v>1050</v>
      </c>
      <c r="G296" s="10" t="n">
        <v>20000000</v>
      </c>
      <c r="H296" s="11" t="n">
        <v>5.17</v>
      </c>
      <c r="I296" s="11" t="n">
        <v>5.19</v>
      </c>
      <c r="J296" s="11" t="n">
        <v>5.19</v>
      </c>
      <c r="K296" s="11" t="n">
        <v>5.29</v>
      </c>
      <c r="L296" s="11" t="n">
        <v>5.56</v>
      </c>
      <c r="M296" s="11" t="n">
        <v>6.95</v>
      </c>
      <c r="N296" s="12" t="n">
        <v>255.165182</v>
      </c>
    </row>
    <row r="297" customFormat="false" ht="15" hidden="false" customHeight="false" outlineLevel="0" collapsed="false">
      <c r="A297" s="7" t="s">
        <v>1148</v>
      </c>
      <c r="B297" s="7" t="s">
        <v>1138</v>
      </c>
      <c r="C297" s="7" t="s">
        <v>1136</v>
      </c>
      <c r="D297" s="7" t="s">
        <v>1049</v>
      </c>
      <c r="E297" s="7" t="s">
        <v>56</v>
      </c>
      <c r="F297" s="7" t="s">
        <v>1050</v>
      </c>
      <c r="G297" s="10" t="n">
        <v>750000000</v>
      </c>
      <c r="H297" s="11" t="n">
        <v>5.73</v>
      </c>
      <c r="I297" s="11" t="n">
        <v>5.74</v>
      </c>
      <c r="J297" s="11" t="n">
        <v>5.74</v>
      </c>
      <c r="K297" s="11" t="n">
        <v>5.84</v>
      </c>
      <c r="L297" s="11" t="n">
        <v>6.11</v>
      </c>
      <c r="M297" s="11" t="n">
        <v>7.5</v>
      </c>
      <c r="N297" s="12" t="n">
        <v>269.250434</v>
      </c>
    </row>
    <row r="298" customFormat="false" ht="15" hidden="false" customHeight="false" outlineLevel="0" collapsed="false">
      <c r="A298" s="7" t="s">
        <v>1051</v>
      </c>
      <c r="B298" s="7" t="s">
        <v>1149</v>
      </c>
      <c r="C298" s="7" t="s">
        <v>1136</v>
      </c>
      <c r="D298" s="7" t="s">
        <v>1049</v>
      </c>
      <c r="E298" s="7" t="s">
        <v>56</v>
      </c>
      <c r="F298" s="7" t="s">
        <v>1053</v>
      </c>
      <c r="G298" s="10" t="n">
        <v>0</v>
      </c>
      <c r="H298" s="11" t="n">
        <v>6.86</v>
      </c>
      <c r="I298" s="11" t="n">
        <v>7.96</v>
      </c>
      <c r="J298" s="11" t="n">
        <v>7.96</v>
      </c>
      <c r="K298" s="11" t="n">
        <v>6.44</v>
      </c>
      <c r="L298" s="11" t="n">
        <v>6.56</v>
      </c>
      <c r="M298" s="11" t="n">
        <v>7.82</v>
      </c>
      <c r="N298" s="12" t="n">
        <v>41.434962</v>
      </c>
    </row>
    <row r="299" customFormat="false" ht="15" hidden="false" customHeight="false" outlineLevel="0" collapsed="false">
      <c r="A299" s="7" t="s">
        <v>1051</v>
      </c>
      <c r="B299" s="7" t="s">
        <v>1150</v>
      </c>
      <c r="C299" s="7" t="s">
        <v>1136</v>
      </c>
      <c r="D299" s="7" t="s">
        <v>1049</v>
      </c>
      <c r="E299" s="7" t="s">
        <v>56</v>
      </c>
      <c r="F299" s="7" t="s">
        <v>1053</v>
      </c>
      <c r="G299" s="10" t="n">
        <v>5000000</v>
      </c>
      <c r="H299" s="11" t="n">
        <v>6.98</v>
      </c>
      <c r="I299" s="11" t="n">
        <v>8.09</v>
      </c>
      <c r="J299" s="11" t="n">
        <v>8.09</v>
      </c>
      <c r="K299" s="11" t="n">
        <v>6.56</v>
      </c>
      <c r="L299" s="11" t="n">
        <v>6.68</v>
      </c>
      <c r="M299" s="11" t="n">
        <v>7.94</v>
      </c>
      <c r="N299" s="12" t="n">
        <v>42.295596</v>
      </c>
    </row>
    <row r="300" customFormat="false" ht="15" hidden="false" customHeight="false" outlineLevel="0" collapsed="false">
      <c r="A300" s="7" t="s">
        <v>1051</v>
      </c>
      <c r="B300" s="7" t="s">
        <v>1151</v>
      </c>
      <c r="C300" s="7" t="s">
        <v>1136</v>
      </c>
      <c r="D300" s="7" t="s">
        <v>1049</v>
      </c>
      <c r="E300" s="7" t="s">
        <v>56</v>
      </c>
      <c r="F300" s="7" t="s">
        <v>1053</v>
      </c>
      <c r="G300" s="10" t="n">
        <v>50000000</v>
      </c>
      <c r="H300" s="11" t="n">
        <v>7.29</v>
      </c>
      <c r="I300" s="11" t="n">
        <v>8.4</v>
      </c>
      <c r="J300" s="11" t="n">
        <v>8.4</v>
      </c>
      <c r="K300" s="11" t="n">
        <v>6.87</v>
      </c>
      <c r="L300" s="11" t="n">
        <v>6.99</v>
      </c>
      <c r="M300" s="11" t="n">
        <v>8.25</v>
      </c>
      <c r="N300" s="12" t="n">
        <v>43.671466</v>
      </c>
    </row>
    <row r="301" customFormat="false" ht="15" hidden="false" customHeight="false" outlineLevel="0" collapsed="false">
      <c r="A301" s="7" t="s">
        <v>1139</v>
      </c>
      <c r="B301" s="7" t="s">
        <v>1149</v>
      </c>
      <c r="C301" s="7" t="s">
        <v>1136</v>
      </c>
      <c r="D301" s="7" t="s">
        <v>1049</v>
      </c>
      <c r="E301" s="7" t="s">
        <v>56</v>
      </c>
      <c r="F301" s="7" t="s">
        <v>1050</v>
      </c>
      <c r="G301" s="10" t="n">
        <v>0</v>
      </c>
      <c r="H301" s="11" t="n">
        <v>6.29</v>
      </c>
      <c r="I301" s="11" t="n">
        <v>6.27</v>
      </c>
      <c r="J301" s="11" t="n">
        <v>6.27</v>
      </c>
      <c r="K301" s="11" t="n">
        <v>6.48</v>
      </c>
      <c r="L301" s="11" t="n">
        <v>6.67</v>
      </c>
      <c r="M301" s="11" t="n">
        <v>7.88</v>
      </c>
      <c r="N301" s="12" t="n">
        <v>24.0284</v>
      </c>
    </row>
    <row r="302" customFormat="false" ht="15" hidden="false" customHeight="false" outlineLevel="0" collapsed="false">
      <c r="A302" s="7" t="s">
        <v>1139</v>
      </c>
      <c r="B302" s="7" t="s">
        <v>1150</v>
      </c>
      <c r="C302" s="7" t="s">
        <v>1136</v>
      </c>
      <c r="D302" s="7" t="s">
        <v>1049</v>
      </c>
      <c r="E302" s="7" t="s">
        <v>56</v>
      </c>
      <c r="F302" s="7" t="s">
        <v>1050</v>
      </c>
      <c r="G302" s="10" t="n">
        <v>200000000</v>
      </c>
      <c r="H302" s="11" t="n">
        <v>6.53</v>
      </c>
      <c r="I302" s="11" t="n">
        <v>6.52</v>
      </c>
      <c r="J302" s="11" t="n">
        <v>6.52</v>
      </c>
      <c r="K302" s="11" t="n">
        <v>6.72</v>
      </c>
      <c r="L302" s="11" t="n">
        <v>6.91</v>
      </c>
      <c r="M302" s="11" t="n">
        <v>8.12</v>
      </c>
      <c r="N302" s="12" t="n">
        <v>20.487275</v>
      </c>
    </row>
    <row r="303" customFormat="false" ht="15" hidden="false" customHeight="false" outlineLevel="0" collapsed="false">
      <c r="A303" s="7" t="s">
        <v>1140</v>
      </c>
      <c r="B303" s="7" t="s">
        <v>1149</v>
      </c>
      <c r="C303" s="7" t="s">
        <v>1136</v>
      </c>
      <c r="D303" s="7" t="s">
        <v>1049</v>
      </c>
      <c r="E303" s="7" t="s">
        <v>56</v>
      </c>
      <c r="F303" s="7" t="s">
        <v>1050</v>
      </c>
      <c r="G303" s="10" t="n">
        <v>0</v>
      </c>
      <c r="H303" s="11" t="n">
        <v>6.05</v>
      </c>
      <c r="I303" s="11" t="n">
        <v>6.13</v>
      </c>
      <c r="J303" s="11" t="n">
        <v>6.13</v>
      </c>
      <c r="K303" s="11" t="n">
        <v>6.29</v>
      </c>
      <c r="L303" s="11" t="n">
        <v>6.46</v>
      </c>
      <c r="M303" s="11" t="n">
        <v>7.67</v>
      </c>
      <c r="N303" s="12" t="n">
        <v>80.407837</v>
      </c>
    </row>
    <row r="304" customFormat="false" ht="15" hidden="false" customHeight="false" outlineLevel="0" collapsed="false">
      <c r="A304" s="7" t="s">
        <v>1140</v>
      </c>
      <c r="B304" s="7" t="s">
        <v>1150</v>
      </c>
      <c r="C304" s="7" t="s">
        <v>1136</v>
      </c>
      <c r="D304" s="7" t="s">
        <v>1049</v>
      </c>
      <c r="E304" s="7" t="s">
        <v>56</v>
      </c>
      <c r="F304" s="7" t="s">
        <v>1050</v>
      </c>
      <c r="G304" s="10" t="n">
        <v>50000000</v>
      </c>
      <c r="H304" s="11" t="n">
        <v>6.35</v>
      </c>
      <c r="I304" s="11" t="n">
        <v>6.44</v>
      </c>
      <c r="J304" s="11" t="n">
        <v>6.44</v>
      </c>
      <c r="K304" s="11" t="n">
        <v>6.59</v>
      </c>
      <c r="L304" s="11" t="n">
        <v>6.77</v>
      </c>
      <c r="M304" s="11" t="n">
        <v>7.98</v>
      </c>
      <c r="N304" s="12" t="n">
        <v>83.592928</v>
      </c>
    </row>
    <row r="305" customFormat="false" ht="15" hidden="false" customHeight="false" outlineLevel="0" collapsed="false">
      <c r="A305" s="7" t="s">
        <v>1140</v>
      </c>
      <c r="B305" s="7" t="s">
        <v>1151</v>
      </c>
      <c r="C305" s="7" t="s">
        <v>1136</v>
      </c>
      <c r="D305" s="7" t="s">
        <v>1049</v>
      </c>
      <c r="E305" s="7" t="s">
        <v>56</v>
      </c>
      <c r="F305" s="7" t="s">
        <v>1050</v>
      </c>
      <c r="G305" s="10" t="n">
        <v>150000000</v>
      </c>
      <c r="H305" s="11" t="n">
        <v>6.54</v>
      </c>
      <c r="I305" s="11" t="n">
        <v>6.62</v>
      </c>
      <c r="J305" s="11" t="n">
        <v>6.62</v>
      </c>
      <c r="K305" s="11" t="n">
        <v>6.77</v>
      </c>
      <c r="L305" s="11" t="n">
        <v>6.95</v>
      </c>
      <c r="M305" s="11" t="n">
        <v>8.17</v>
      </c>
      <c r="N305" s="12" t="n">
        <v>85.514113</v>
      </c>
    </row>
    <row r="306" customFormat="false" ht="15" hidden="false" customHeight="false" outlineLevel="0" collapsed="false">
      <c r="A306" s="7" t="s">
        <v>1140</v>
      </c>
      <c r="B306" s="7" t="s">
        <v>1152</v>
      </c>
      <c r="C306" s="7" t="s">
        <v>1136</v>
      </c>
      <c r="D306" s="7" t="s">
        <v>1049</v>
      </c>
      <c r="E306" s="7" t="s">
        <v>56</v>
      </c>
      <c r="F306" s="7" t="s">
        <v>1050</v>
      </c>
      <c r="G306" s="10" t="n">
        <v>500000000</v>
      </c>
      <c r="H306" s="11" t="n">
        <v>6.66</v>
      </c>
      <c r="I306" s="11" t="n">
        <v>6.74</v>
      </c>
      <c r="J306" s="11" t="n">
        <v>6.74</v>
      </c>
      <c r="K306" s="11" t="n">
        <v>6.89</v>
      </c>
      <c r="L306" s="11" t="n">
        <v>7.07</v>
      </c>
      <c r="M306" s="11" t="n">
        <v>8.29</v>
      </c>
      <c r="N306" s="12" t="n">
        <v>71.980816</v>
      </c>
    </row>
    <row r="307" customFormat="false" ht="15" hidden="false" customHeight="false" outlineLevel="0" collapsed="false">
      <c r="A307" s="7" t="s">
        <v>1140</v>
      </c>
      <c r="B307" s="7" t="s">
        <v>1153</v>
      </c>
      <c r="C307" s="7" t="s">
        <v>1136</v>
      </c>
      <c r="D307" s="7" t="s">
        <v>1049</v>
      </c>
      <c r="E307" s="7" t="s">
        <v>56</v>
      </c>
      <c r="F307" s="7" t="s">
        <v>1050</v>
      </c>
      <c r="G307" s="10" t="n">
        <v>0</v>
      </c>
      <c r="H307" s="11" t="n">
        <v>6.77</v>
      </c>
      <c r="I307" s="11" t="n">
        <v>6.85</v>
      </c>
      <c r="J307" s="11" t="n">
        <v>6.85</v>
      </c>
      <c r="K307" s="11" t="n">
        <v>7</v>
      </c>
      <c r="L307" s="11" t="n">
        <v>7.18</v>
      </c>
      <c r="M307" s="11" t="n">
        <v>8.4</v>
      </c>
      <c r="N307" s="12" t="n">
        <v>72.27904</v>
      </c>
    </row>
    <row r="308" customFormat="false" ht="15" hidden="false" customHeight="false" outlineLevel="0" collapsed="false">
      <c r="A308" s="7" t="s">
        <v>1059</v>
      </c>
      <c r="B308" s="7" t="s">
        <v>1149</v>
      </c>
      <c r="C308" s="7" t="s">
        <v>1136</v>
      </c>
      <c r="D308" s="7" t="s">
        <v>1049</v>
      </c>
      <c r="E308" s="7" t="s">
        <v>56</v>
      </c>
      <c r="F308" s="7" t="s">
        <v>1050</v>
      </c>
      <c r="G308" s="10" t="n">
        <v>0</v>
      </c>
      <c r="H308" s="11" t="n">
        <v>6.47</v>
      </c>
      <c r="I308" s="11" t="n">
        <v>6.58</v>
      </c>
      <c r="J308" s="11" t="n">
        <v>6.58</v>
      </c>
      <c r="K308" s="11" t="n">
        <v>6.77</v>
      </c>
      <c r="L308" s="11" t="n">
        <v>6.95</v>
      </c>
      <c r="M308" s="11" t="n">
        <v>8.17</v>
      </c>
      <c r="N308" s="12" t="n">
        <v>25.788959</v>
      </c>
    </row>
    <row r="309" customFormat="false" ht="15" hidden="false" customHeight="false" outlineLevel="0" collapsed="false">
      <c r="A309" s="7" t="s">
        <v>1059</v>
      </c>
      <c r="B309" s="7" t="s">
        <v>1153</v>
      </c>
      <c r="C309" s="7" t="s">
        <v>1136</v>
      </c>
      <c r="D309" s="7" t="s">
        <v>1049</v>
      </c>
      <c r="E309" s="7" t="s">
        <v>56</v>
      </c>
      <c r="F309" s="7" t="s">
        <v>1050</v>
      </c>
      <c r="G309" s="10" t="n">
        <v>0</v>
      </c>
      <c r="H309" s="11" t="n">
        <v>6.7</v>
      </c>
      <c r="I309" s="11" t="n">
        <v>6.82</v>
      </c>
      <c r="J309" s="11" t="n">
        <v>6.82</v>
      </c>
      <c r="K309" s="11" t="n">
        <v>7</v>
      </c>
      <c r="L309" s="11" t="n">
        <v>7.18</v>
      </c>
      <c r="M309" s="11" t="n">
        <v>8.41</v>
      </c>
      <c r="N309" s="12" t="n">
        <v>23.722409</v>
      </c>
    </row>
    <row r="310" customFormat="false" ht="15" hidden="false" customHeight="false" outlineLevel="0" collapsed="false">
      <c r="A310" s="7" t="s">
        <v>1060</v>
      </c>
      <c r="B310" s="7" t="s">
        <v>1149</v>
      </c>
      <c r="C310" s="7" t="s">
        <v>1136</v>
      </c>
      <c r="D310" s="7" t="s">
        <v>1049</v>
      </c>
      <c r="E310" s="7" t="s">
        <v>56</v>
      </c>
      <c r="F310" s="7" t="s">
        <v>1050</v>
      </c>
      <c r="G310" s="10" t="n">
        <v>0</v>
      </c>
      <c r="H310" s="11" t="n">
        <v>5.13</v>
      </c>
      <c r="I310" s="11" t="n">
        <v>5.09</v>
      </c>
      <c r="J310" s="11" t="n">
        <v>5.09</v>
      </c>
      <c r="K310" s="11" t="n">
        <v>5.24</v>
      </c>
      <c r="L310" s="11" t="n">
        <v>5.41</v>
      </c>
      <c r="M310" s="11" t="n">
        <v>6.65</v>
      </c>
      <c r="N310" s="12" t="n">
        <v>46.87936</v>
      </c>
    </row>
    <row r="311" customFormat="false" ht="15" hidden="false" customHeight="false" outlineLevel="0" collapsed="false">
      <c r="A311" s="7" t="s">
        <v>1060</v>
      </c>
      <c r="B311" s="7" t="s">
        <v>1150</v>
      </c>
      <c r="C311" s="7" t="s">
        <v>1136</v>
      </c>
      <c r="D311" s="7" t="s">
        <v>1049</v>
      </c>
      <c r="E311" s="7" t="s">
        <v>56</v>
      </c>
      <c r="F311" s="7" t="s">
        <v>1050</v>
      </c>
      <c r="G311" s="10" t="n">
        <v>500000</v>
      </c>
      <c r="H311" s="11" t="n">
        <v>5.67</v>
      </c>
      <c r="I311" s="11" t="n">
        <v>5.64</v>
      </c>
      <c r="J311" s="11" t="n">
        <v>5.64</v>
      </c>
      <c r="K311" s="11" t="n">
        <v>5.78</v>
      </c>
      <c r="L311" s="11" t="n">
        <v>5.96</v>
      </c>
      <c r="M311" s="11" t="n">
        <v>7.2</v>
      </c>
      <c r="N311" s="12" t="n">
        <v>50.828881</v>
      </c>
    </row>
    <row r="312" customFormat="false" ht="15" hidden="false" customHeight="false" outlineLevel="0" collapsed="false">
      <c r="A312" s="7" t="s">
        <v>1060</v>
      </c>
      <c r="B312" s="7" t="s">
        <v>1151</v>
      </c>
      <c r="C312" s="7" t="s">
        <v>1136</v>
      </c>
      <c r="D312" s="7" t="s">
        <v>1049</v>
      </c>
      <c r="E312" s="7" t="s">
        <v>56</v>
      </c>
      <c r="F312" s="7" t="s">
        <v>1050</v>
      </c>
      <c r="G312" s="10" t="n">
        <v>2000000</v>
      </c>
      <c r="H312" s="11" t="n">
        <v>5.79</v>
      </c>
      <c r="I312" s="11" t="n">
        <v>5.76</v>
      </c>
      <c r="J312" s="11" t="n">
        <v>5.76</v>
      </c>
      <c r="K312" s="11" t="n">
        <v>5.9</v>
      </c>
      <c r="L312" s="11" t="n">
        <v>6.08</v>
      </c>
      <c r="M312" s="11" t="n">
        <v>7.32</v>
      </c>
      <c r="N312" s="12" t="n">
        <v>51.789702</v>
      </c>
    </row>
    <row r="313" customFormat="false" ht="15" hidden="false" customHeight="false" outlineLevel="0" collapsed="false">
      <c r="A313" s="7" t="s">
        <v>1060</v>
      </c>
      <c r="B313" s="7" t="s">
        <v>1152</v>
      </c>
      <c r="C313" s="7" t="s">
        <v>1136</v>
      </c>
      <c r="D313" s="7" t="s">
        <v>1049</v>
      </c>
      <c r="E313" s="7" t="s">
        <v>56</v>
      </c>
      <c r="F313" s="7" t="s">
        <v>1050</v>
      </c>
      <c r="G313" s="10" t="n">
        <v>3000000</v>
      </c>
      <c r="H313" s="11" t="n">
        <v>5.91</v>
      </c>
      <c r="I313" s="11" t="n">
        <v>5.88</v>
      </c>
      <c r="J313" s="11" t="n">
        <v>5.88</v>
      </c>
      <c r="K313" s="11" t="n">
        <v>6.02</v>
      </c>
      <c r="L313" s="11" t="n">
        <v>6.2</v>
      </c>
      <c r="M313" s="11" t="n">
        <v>7.44</v>
      </c>
      <c r="N313" s="12" t="n">
        <v>52.76867</v>
      </c>
    </row>
    <row r="314" customFormat="false" ht="15" hidden="false" customHeight="false" outlineLevel="0" collapsed="false">
      <c r="A314" s="7" t="s">
        <v>1060</v>
      </c>
      <c r="B314" s="7" t="s">
        <v>1154</v>
      </c>
      <c r="C314" s="7" t="s">
        <v>1136</v>
      </c>
      <c r="D314" s="7" t="s">
        <v>1049</v>
      </c>
      <c r="E314" s="7" t="s">
        <v>56</v>
      </c>
      <c r="F314" s="7" t="s">
        <v>1050</v>
      </c>
      <c r="G314" s="10" t="n">
        <v>5000000</v>
      </c>
      <c r="H314" s="11" t="n">
        <v>6.28</v>
      </c>
      <c r="I314" s="11" t="n">
        <v>6.24</v>
      </c>
      <c r="J314" s="11" t="n">
        <v>6.24</v>
      </c>
      <c r="K314" s="11" t="n">
        <v>6.38</v>
      </c>
      <c r="L314" s="11" t="n">
        <v>6.56</v>
      </c>
      <c r="M314" s="11" t="n">
        <v>7.81</v>
      </c>
      <c r="N314" s="12" t="n">
        <v>55.710214</v>
      </c>
    </row>
    <row r="315" customFormat="false" ht="15" hidden="false" customHeight="false" outlineLevel="0" collapsed="false">
      <c r="A315" s="7" t="s">
        <v>1060</v>
      </c>
      <c r="B315" s="7" t="s">
        <v>1155</v>
      </c>
      <c r="C315" s="7" t="s">
        <v>1136</v>
      </c>
      <c r="D315" s="7" t="s">
        <v>1049</v>
      </c>
      <c r="E315" s="7" t="s">
        <v>56</v>
      </c>
      <c r="F315" s="7" t="s">
        <v>1050</v>
      </c>
      <c r="G315" s="10" t="n">
        <v>10000000</v>
      </c>
      <c r="H315" s="11" t="n">
        <v>6.34</v>
      </c>
      <c r="I315" s="11" t="n">
        <v>6.3</v>
      </c>
      <c r="J315" s="11" t="n">
        <v>6.3</v>
      </c>
      <c r="K315" s="11" t="n">
        <v>6.44</v>
      </c>
      <c r="L315" s="11" t="n">
        <v>6.63</v>
      </c>
      <c r="M315" s="11" t="n">
        <v>7.87</v>
      </c>
      <c r="N315" s="12" t="n">
        <v>56.250673</v>
      </c>
    </row>
    <row r="316" customFormat="false" ht="15" hidden="false" customHeight="false" outlineLevel="0" collapsed="false">
      <c r="A316" s="7" t="s">
        <v>1060</v>
      </c>
      <c r="B316" s="7" t="s">
        <v>1156</v>
      </c>
      <c r="C316" s="7" t="s">
        <v>1136</v>
      </c>
      <c r="D316" s="7" t="s">
        <v>1049</v>
      </c>
      <c r="E316" s="7" t="s">
        <v>56</v>
      </c>
      <c r="F316" s="7" t="s">
        <v>1050</v>
      </c>
      <c r="G316" s="10" t="n">
        <v>20000000</v>
      </c>
      <c r="H316" s="11" t="n">
        <v>6.4</v>
      </c>
      <c r="I316" s="11" t="n">
        <v>6.36</v>
      </c>
      <c r="J316" s="11" t="n">
        <v>6.36</v>
      </c>
      <c r="K316" s="11" t="n">
        <v>6.5</v>
      </c>
      <c r="L316" s="11" t="n">
        <v>6.69</v>
      </c>
      <c r="M316" s="11" t="n">
        <v>7.93</v>
      </c>
      <c r="N316" s="12" t="n">
        <v>41.161393</v>
      </c>
    </row>
    <row r="317" customFormat="false" ht="15" hidden="false" customHeight="false" outlineLevel="0" collapsed="false">
      <c r="A317" s="7" t="s">
        <v>1065</v>
      </c>
      <c r="B317" s="7" t="s">
        <v>1149</v>
      </c>
      <c r="C317" s="7" t="s">
        <v>1136</v>
      </c>
      <c r="D317" s="7" t="s">
        <v>1049</v>
      </c>
      <c r="E317" s="7" t="s">
        <v>56</v>
      </c>
      <c r="F317" s="7" t="s">
        <v>1067</v>
      </c>
      <c r="G317" s="10" t="n">
        <v>0</v>
      </c>
      <c r="H317" s="11" t="n">
        <v>0</v>
      </c>
      <c r="I317" s="11" t="n">
        <v>0</v>
      </c>
      <c r="J317" s="11" t="n">
        <v>0</v>
      </c>
      <c r="K317" s="11" t="n">
        <v>0</v>
      </c>
      <c r="L317" s="11" t="n">
        <v>0</v>
      </c>
      <c r="M317" s="11" t="n">
        <v>0</v>
      </c>
      <c r="N317" s="12" t="n">
        <v>15.355663</v>
      </c>
    </row>
    <row r="318" customFormat="false" ht="15" hidden="false" customHeight="false" outlineLevel="0" collapsed="false">
      <c r="A318" s="7" t="s">
        <v>1072</v>
      </c>
      <c r="B318" s="7" t="s">
        <v>1135</v>
      </c>
      <c r="C318" s="7" t="s">
        <v>1136</v>
      </c>
      <c r="D318" s="7" t="s">
        <v>1049</v>
      </c>
      <c r="E318" s="7" t="s">
        <v>1073</v>
      </c>
      <c r="F318" s="7" t="s">
        <v>1053</v>
      </c>
      <c r="G318" s="10" t="n">
        <v>0</v>
      </c>
      <c r="H318" s="11" t="n">
        <v>0</v>
      </c>
      <c r="I318" s="11" t="n">
        <v>0</v>
      </c>
      <c r="J318" s="11" t="n">
        <v>0</v>
      </c>
      <c r="K318" s="11" t="n">
        <v>0</v>
      </c>
      <c r="L318" s="11" t="n">
        <v>0</v>
      </c>
      <c r="M318" s="11" t="n">
        <v>0</v>
      </c>
      <c r="N318" s="12" t="n">
        <v>11.517988</v>
      </c>
    </row>
    <row r="319" customFormat="false" ht="15" hidden="false" customHeight="false" outlineLevel="0" collapsed="false">
      <c r="A319" s="7" t="s">
        <v>1157</v>
      </c>
      <c r="B319" s="7" t="s">
        <v>1135</v>
      </c>
      <c r="C319" s="7" t="s">
        <v>1136</v>
      </c>
      <c r="D319" s="7" t="s">
        <v>1049</v>
      </c>
      <c r="E319" s="7" t="s">
        <v>1073</v>
      </c>
      <c r="F319" s="7" t="s">
        <v>1084</v>
      </c>
      <c r="G319" s="10" t="n">
        <v>5000000000</v>
      </c>
      <c r="H319" s="11" t="n">
        <v>0</v>
      </c>
      <c r="I319" s="11" t="n">
        <v>0</v>
      </c>
      <c r="J319" s="11" t="n">
        <v>0</v>
      </c>
      <c r="K319" s="11" t="n">
        <v>0</v>
      </c>
      <c r="L319" s="11" t="n">
        <v>0</v>
      </c>
      <c r="M319" s="11" t="n">
        <v>0</v>
      </c>
      <c r="N319" s="12" t="n">
        <v>9.730636</v>
      </c>
    </row>
    <row r="320" customFormat="false" ht="15" hidden="false" customHeight="false" outlineLevel="0" collapsed="false">
      <c r="A320" s="7" t="s">
        <v>1074</v>
      </c>
      <c r="B320" s="7" t="s">
        <v>1135</v>
      </c>
      <c r="C320" s="7" t="s">
        <v>1136</v>
      </c>
      <c r="D320" s="7" t="s">
        <v>1049</v>
      </c>
      <c r="E320" s="7" t="s">
        <v>1073</v>
      </c>
      <c r="F320" s="7" t="s">
        <v>1075</v>
      </c>
      <c r="G320" s="10" t="n">
        <v>100000</v>
      </c>
      <c r="H320" s="11" t="n">
        <v>9.33</v>
      </c>
      <c r="I320" s="11" t="n">
        <v>30.35</v>
      </c>
      <c r="J320" s="11" t="n">
        <v>30.35</v>
      </c>
      <c r="K320" s="11" t="n">
        <v>7.82</v>
      </c>
      <c r="L320" s="11" t="n">
        <v>7.41</v>
      </c>
      <c r="M320" s="11" t="n">
        <v>9.57</v>
      </c>
      <c r="N320" s="12" t="n">
        <v>76.543143</v>
      </c>
    </row>
    <row r="321" customFormat="false" ht="15" hidden="false" customHeight="false" outlineLevel="0" collapsed="false">
      <c r="A321" s="7" t="s">
        <v>1072</v>
      </c>
      <c r="B321" s="7" t="s">
        <v>1149</v>
      </c>
      <c r="C321" s="7" t="s">
        <v>1136</v>
      </c>
      <c r="D321" s="7" t="s">
        <v>1049</v>
      </c>
      <c r="E321" s="7" t="s">
        <v>1073</v>
      </c>
      <c r="F321" s="7" t="s">
        <v>1053</v>
      </c>
      <c r="G321" s="10" t="n">
        <v>0</v>
      </c>
      <c r="H321" s="11" t="n">
        <v>0</v>
      </c>
      <c r="I321" s="11" t="n">
        <v>0</v>
      </c>
      <c r="J321" s="11" t="n">
        <v>0</v>
      </c>
      <c r="K321" s="11" t="n">
        <v>0</v>
      </c>
      <c r="L321" s="11" t="n">
        <v>0</v>
      </c>
      <c r="M321" s="11" t="n">
        <v>0</v>
      </c>
      <c r="N321" s="12" t="n">
        <v>10</v>
      </c>
    </row>
    <row r="322" customFormat="false" ht="15" hidden="false" customHeight="false" outlineLevel="0" collapsed="false">
      <c r="A322" s="7" t="s">
        <v>1157</v>
      </c>
      <c r="B322" s="7" t="s">
        <v>1149</v>
      </c>
      <c r="C322" s="7" t="s">
        <v>1136</v>
      </c>
      <c r="D322" s="7" t="s">
        <v>1049</v>
      </c>
      <c r="E322" s="7" t="s">
        <v>1073</v>
      </c>
      <c r="F322" s="7" t="s">
        <v>1084</v>
      </c>
      <c r="G322" s="10" t="n">
        <v>2000000000</v>
      </c>
      <c r="H322" s="11" t="n">
        <v>410.44</v>
      </c>
      <c r="I322" s="11" t="n">
        <v>388.37</v>
      </c>
      <c r="J322" s="11" t="n">
        <v>388.37</v>
      </c>
      <c r="K322" s="11" t="n">
        <v>3.23</v>
      </c>
      <c r="L322" s="11" t="n">
        <v>4.58</v>
      </c>
      <c r="M322" s="11" t="n">
        <v>10.65</v>
      </c>
      <c r="N322" s="12" t="n">
        <v>14.271472</v>
      </c>
    </row>
    <row r="323" customFormat="false" ht="15" hidden="false" customHeight="false" outlineLevel="0" collapsed="false">
      <c r="A323" s="7" t="s">
        <v>1074</v>
      </c>
      <c r="B323" s="7" t="s">
        <v>1149</v>
      </c>
      <c r="C323" s="7" t="s">
        <v>1136</v>
      </c>
      <c r="D323" s="7" t="s">
        <v>1049</v>
      </c>
      <c r="E323" s="7" t="s">
        <v>1073</v>
      </c>
      <c r="F323" s="7" t="s">
        <v>1075</v>
      </c>
      <c r="G323" s="10" t="n">
        <v>100000</v>
      </c>
      <c r="H323" s="11" t="n">
        <v>10.71</v>
      </c>
      <c r="I323" s="11" t="n">
        <v>31.99</v>
      </c>
      <c r="J323" s="11" t="n">
        <v>31.99</v>
      </c>
      <c r="K323" s="11" t="n">
        <v>9.18</v>
      </c>
      <c r="L323" s="11" t="n">
        <v>8.69</v>
      </c>
      <c r="M323" s="11" t="n">
        <v>10.73</v>
      </c>
      <c r="N323" s="12" t="n">
        <v>88.86635</v>
      </c>
    </row>
    <row r="324" customFormat="false" ht="15" hidden="false" customHeight="false" outlineLevel="0" collapsed="false">
      <c r="A324" s="7" t="s">
        <v>1076</v>
      </c>
      <c r="B324" s="7" t="s">
        <v>1135</v>
      </c>
      <c r="C324" s="7" t="s">
        <v>1136</v>
      </c>
      <c r="D324" s="7" t="s">
        <v>1049</v>
      </c>
      <c r="E324" s="7" t="s">
        <v>41</v>
      </c>
      <c r="F324" s="7" t="s">
        <v>1077</v>
      </c>
      <c r="G324" s="10" t="n">
        <v>0</v>
      </c>
      <c r="H324" s="11" t="n">
        <v>0</v>
      </c>
      <c r="I324" s="11" t="n">
        <v>0</v>
      </c>
      <c r="J324" s="11" t="n">
        <v>0</v>
      </c>
      <c r="K324" s="11" t="n">
        <v>0</v>
      </c>
      <c r="L324" s="11" t="n">
        <v>0</v>
      </c>
      <c r="M324" s="11" t="n">
        <v>0</v>
      </c>
      <c r="N324" s="12" t="n">
        <v>19.331591</v>
      </c>
    </row>
    <row r="325" customFormat="false" ht="15" hidden="false" customHeight="false" outlineLevel="0" collapsed="false">
      <c r="A325" s="7" t="s">
        <v>1080</v>
      </c>
      <c r="B325" s="7" t="s">
        <v>1135</v>
      </c>
      <c r="C325" s="7" t="s">
        <v>1136</v>
      </c>
      <c r="D325" s="7" t="s">
        <v>1049</v>
      </c>
      <c r="E325" s="7" t="s">
        <v>41</v>
      </c>
      <c r="F325" s="7" t="s">
        <v>1081</v>
      </c>
      <c r="G325" s="10" t="n">
        <v>0</v>
      </c>
      <c r="H325" s="11" t="n">
        <v>37.02</v>
      </c>
      <c r="I325" s="11" t="n">
        <v>47.96</v>
      </c>
      <c r="J325" s="11" t="n">
        <v>47.96</v>
      </c>
      <c r="K325" s="11" t="n">
        <v>5</v>
      </c>
      <c r="L325" s="11" t="n">
        <v>4.67</v>
      </c>
      <c r="M325" s="11" t="n">
        <v>8</v>
      </c>
      <c r="N325" s="12" t="n">
        <v>11.704854</v>
      </c>
    </row>
    <row r="326" customFormat="false" ht="15" hidden="false" customHeight="false" outlineLevel="0" collapsed="false">
      <c r="A326" s="7" t="s">
        <v>1082</v>
      </c>
      <c r="B326" s="7" t="s">
        <v>1135</v>
      </c>
      <c r="C326" s="7" t="s">
        <v>1136</v>
      </c>
      <c r="D326" s="7" t="s">
        <v>1049</v>
      </c>
      <c r="E326" s="7" t="s">
        <v>41</v>
      </c>
      <c r="F326" s="7" t="s">
        <v>1081</v>
      </c>
      <c r="G326" s="10" t="n">
        <v>0</v>
      </c>
      <c r="H326" s="11" t="n">
        <v>226.86</v>
      </c>
      <c r="I326" s="11" t="n">
        <v>215.42</v>
      </c>
      <c r="J326" s="11" t="n">
        <v>215.42</v>
      </c>
      <c r="K326" s="11" t="n">
        <v>2.82</v>
      </c>
      <c r="L326" s="11" t="n">
        <v>3.17</v>
      </c>
      <c r="M326" s="11" t="n">
        <v>8.42</v>
      </c>
      <c r="N326" s="12" t="n">
        <v>23.706568</v>
      </c>
    </row>
    <row r="327" customFormat="false" ht="15" hidden="false" customHeight="false" outlineLevel="0" collapsed="false">
      <c r="A327" s="7" t="s">
        <v>1083</v>
      </c>
      <c r="B327" s="7" t="s">
        <v>1135</v>
      </c>
      <c r="C327" s="7" t="s">
        <v>1136</v>
      </c>
      <c r="D327" s="7" t="s">
        <v>1049</v>
      </c>
      <c r="E327" s="7" t="s">
        <v>41</v>
      </c>
      <c r="F327" s="7" t="s">
        <v>1084</v>
      </c>
      <c r="G327" s="10" t="n">
        <v>0</v>
      </c>
      <c r="H327" s="11" t="n">
        <v>80.9</v>
      </c>
      <c r="I327" s="11" t="n">
        <v>76.03</v>
      </c>
      <c r="J327" s="11" t="n">
        <v>76.03</v>
      </c>
      <c r="K327" s="11" t="n">
        <v>6.05</v>
      </c>
      <c r="L327" s="11" t="n">
        <v>5.78</v>
      </c>
      <c r="M327" s="11" t="n">
        <v>8.51</v>
      </c>
      <c r="N327" s="12" t="n">
        <v>31.236371</v>
      </c>
    </row>
    <row r="328" customFormat="false" ht="15" hidden="false" customHeight="false" outlineLevel="0" collapsed="false">
      <c r="A328" s="7" t="s">
        <v>1076</v>
      </c>
      <c r="B328" s="7" t="s">
        <v>1149</v>
      </c>
      <c r="C328" s="7" t="s">
        <v>1136</v>
      </c>
      <c r="D328" s="7" t="s">
        <v>1049</v>
      </c>
      <c r="E328" s="7" t="s">
        <v>1073</v>
      </c>
      <c r="F328" s="7" t="s">
        <v>1077</v>
      </c>
      <c r="G328" s="10" t="n">
        <v>0</v>
      </c>
      <c r="H328" s="11" t="n">
        <v>0</v>
      </c>
      <c r="I328" s="11" t="n">
        <v>0</v>
      </c>
      <c r="J328" s="11" t="n">
        <v>0</v>
      </c>
      <c r="K328" s="11" t="n">
        <v>0</v>
      </c>
      <c r="L328" s="11" t="n">
        <v>0</v>
      </c>
      <c r="M328" s="11" t="n">
        <v>0</v>
      </c>
      <c r="N328" s="12" t="n">
        <v>19.759293</v>
      </c>
    </row>
    <row r="329" customFormat="false" ht="15" hidden="false" customHeight="false" outlineLevel="0" collapsed="false">
      <c r="A329" s="7" t="s">
        <v>1082</v>
      </c>
      <c r="B329" s="7" t="s">
        <v>1149</v>
      </c>
      <c r="C329" s="7" t="s">
        <v>1136</v>
      </c>
      <c r="D329" s="7" t="s">
        <v>1049</v>
      </c>
      <c r="E329" s="7" t="s">
        <v>1073</v>
      </c>
      <c r="F329" s="7" t="s">
        <v>1081</v>
      </c>
      <c r="G329" s="10" t="n">
        <v>0</v>
      </c>
      <c r="H329" s="11" t="n">
        <v>229.48</v>
      </c>
      <c r="I329" s="11" t="n">
        <v>217.98</v>
      </c>
      <c r="J329" s="11" t="n">
        <v>217.98</v>
      </c>
      <c r="K329" s="11" t="n">
        <v>3.61</v>
      </c>
      <c r="L329" s="11" t="n">
        <v>3.88</v>
      </c>
      <c r="M329" s="11" t="n">
        <v>9.01</v>
      </c>
      <c r="N329" s="12" t="n">
        <v>25.797203</v>
      </c>
    </row>
    <row r="330" customFormat="false" ht="15" hidden="false" customHeight="false" outlineLevel="0" collapsed="false">
      <c r="A330" s="7" t="s">
        <v>1083</v>
      </c>
      <c r="B330" s="7" t="s">
        <v>1149</v>
      </c>
      <c r="C330" s="7" t="s">
        <v>1136</v>
      </c>
      <c r="D330" s="7" t="s">
        <v>1049</v>
      </c>
      <c r="E330" s="7" t="s">
        <v>1073</v>
      </c>
      <c r="F330" s="7" t="s">
        <v>1084</v>
      </c>
      <c r="G330" s="10" t="n">
        <v>0</v>
      </c>
      <c r="H330" s="11" t="n">
        <v>82.89</v>
      </c>
      <c r="I330" s="11" t="n">
        <v>77.97</v>
      </c>
      <c r="J330" s="11" t="n">
        <v>77.97</v>
      </c>
      <c r="K330" s="11" t="n">
        <v>7.24</v>
      </c>
      <c r="L330" s="11" t="n">
        <v>0</v>
      </c>
      <c r="M330" s="11" t="n">
        <v>7.54</v>
      </c>
      <c r="N330" s="12" t="n">
        <v>35.28328</v>
      </c>
    </row>
    <row r="331" customFormat="false" ht="15" hidden="false" customHeight="false" outlineLevel="0" collapsed="false">
      <c r="A331" s="7" t="s">
        <v>1080</v>
      </c>
      <c r="B331" s="7" t="s">
        <v>1149</v>
      </c>
      <c r="C331" s="7" t="s">
        <v>1136</v>
      </c>
      <c r="D331" s="7" t="s">
        <v>1049</v>
      </c>
      <c r="E331" s="7" t="s">
        <v>41</v>
      </c>
      <c r="F331" s="7" t="s">
        <v>1081</v>
      </c>
      <c r="G331" s="10" t="n">
        <v>0</v>
      </c>
      <c r="H331" s="11" t="n">
        <v>38.49</v>
      </c>
      <c r="I331" s="11" t="n">
        <v>49.56</v>
      </c>
      <c r="J331" s="11" t="n">
        <v>49.56</v>
      </c>
      <c r="K331" s="11" t="n">
        <v>6.16</v>
      </c>
      <c r="L331" s="11" t="n">
        <v>5.71</v>
      </c>
      <c r="M331" s="11" t="n">
        <v>8.92</v>
      </c>
      <c r="N331" s="12" t="n">
        <v>11.754765</v>
      </c>
    </row>
    <row r="332" customFormat="false" ht="15" hidden="false" customHeight="false" outlineLevel="0" collapsed="false">
      <c r="A332" s="7" t="s">
        <v>1085</v>
      </c>
      <c r="B332" s="7" t="s">
        <v>1135</v>
      </c>
      <c r="C332" s="7" t="s">
        <v>1136</v>
      </c>
      <c r="D332" s="7" t="s">
        <v>1049</v>
      </c>
      <c r="E332" s="7" t="s">
        <v>1086</v>
      </c>
      <c r="F332" s="7" t="s">
        <v>1077</v>
      </c>
      <c r="G332" s="10" t="n">
        <v>0</v>
      </c>
      <c r="H332" s="11" t="n">
        <v>8.8</v>
      </c>
      <c r="I332" s="11" t="n">
        <v>4.84</v>
      </c>
      <c r="J332" s="11" t="n">
        <v>4.84</v>
      </c>
      <c r="K332" s="11" t="n">
        <v>6.23</v>
      </c>
      <c r="L332" s="11" t="n">
        <v>6.28</v>
      </c>
      <c r="M332" s="11" t="n">
        <v>8</v>
      </c>
      <c r="N332" s="12" t="n">
        <v>16.894546</v>
      </c>
    </row>
    <row r="333" customFormat="false" ht="15" hidden="false" customHeight="false" outlineLevel="0" collapsed="false">
      <c r="A333" s="7" t="s">
        <v>1085</v>
      </c>
      <c r="B333" s="7" t="s">
        <v>1149</v>
      </c>
      <c r="C333" s="7" t="s">
        <v>1136</v>
      </c>
      <c r="D333" s="7" t="s">
        <v>1049</v>
      </c>
      <c r="E333" s="7" t="s">
        <v>1086</v>
      </c>
      <c r="F333" s="7" t="s">
        <v>1077</v>
      </c>
      <c r="G333" s="10" t="n">
        <v>0</v>
      </c>
      <c r="H333" s="11" t="n">
        <v>0</v>
      </c>
      <c r="I333" s="11" t="n">
        <v>0</v>
      </c>
      <c r="J333" s="11" t="n">
        <v>0</v>
      </c>
      <c r="K333" s="11" t="n">
        <v>0</v>
      </c>
      <c r="L333" s="11" t="n">
        <v>0</v>
      </c>
      <c r="M333" s="11" t="n">
        <v>0</v>
      </c>
      <c r="N333" s="12" t="n">
        <v>13.437037</v>
      </c>
    </row>
    <row r="334" customFormat="false" ht="15" hidden="false" customHeight="false" outlineLevel="0" collapsed="false">
      <c r="A334" s="7" t="s">
        <v>1087</v>
      </c>
      <c r="B334" s="7" t="s">
        <v>1135</v>
      </c>
      <c r="C334" s="7" t="s">
        <v>1136</v>
      </c>
      <c r="D334" s="7" t="s">
        <v>1088</v>
      </c>
      <c r="E334" s="7" t="s">
        <v>1088</v>
      </c>
      <c r="F334" s="7" t="s">
        <v>1089</v>
      </c>
      <c r="G334" s="10" t="n">
        <v>0</v>
      </c>
      <c r="H334" s="11" t="n">
        <v>27.7</v>
      </c>
      <c r="I334" s="11" t="n">
        <v>-22.61</v>
      </c>
      <c r="J334" s="11" t="n">
        <v>-22.61</v>
      </c>
      <c r="K334" s="11" t="n">
        <v>1.41</v>
      </c>
      <c r="L334" s="11" t="n">
        <v>-0.57</v>
      </c>
      <c r="M334" s="11" t="n">
        <v>-1.31</v>
      </c>
      <c r="N334" s="12" t="n">
        <v>18.615762</v>
      </c>
    </row>
    <row r="335" customFormat="false" ht="15" hidden="false" customHeight="false" outlineLevel="0" collapsed="false">
      <c r="A335" s="7" t="s">
        <v>1091</v>
      </c>
      <c r="B335" s="7" t="s">
        <v>1135</v>
      </c>
      <c r="C335" s="7" t="s">
        <v>1136</v>
      </c>
      <c r="D335" s="7" t="s">
        <v>1088</v>
      </c>
      <c r="E335" s="7" t="s">
        <v>1088</v>
      </c>
      <c r="F335" s="7" t="s">
        <v>1089</v>
      </c>
      <c r="G335" s="10" t="n">
        <v>0</v>
      </c>
      <c r="H335" s="11" t="n">
        <v>-84.39</v>
      </c>
      <c r="I335" s="11" t="n">
        <v>-63.78</v>
      </c>
      <c r="J335" s="11" t="n">
        <v>-63.78</v>
      </c>
      <c r="K335" s="11" t="n">
        <v>-1.27</v>
      </c>
      <c r="L335" s="11" t="n">
        <v>-2.51</v>
      </c>
      <c r="M335" s="11" t="n">
        <v>0</v>
      </c>
      <c r="N335" s="12" t="n">
        <v>82.897111</v>
      </c>
    </row>
    <row r="336" customFormat="false" ht="15" hidden="false" customHeight="false" outlineLevel="0" collapsed="false">
      <c r="A336" s="7" t="s">
        <v>1092</v>
      </c>
      <c r="B336" s="7" t="s">
        <v>1135</v>
      </c>
      <c r="C336" s="7" t="s">
        <v>1136</v>
      </c>
      <c r="D336" s="7" t="s">
        <v>1093</v>
      </c>
      <c r="E336" s="7" t="s">
        <v>1088</v>
      </c>
      <c r="F336" s="7" t="s">
        <v>1075</v>
      </c>
      <c r="G336" s="10" t="n">
        <v>0</v>
      </c>
      <c r="H336" s="11" t="n">
        <v>4.51</v>
      </c>
      <c r="I336" s="11" t="n">
        <v>4.32</v>
      </c>
      <c r="J336" s="11" t="n">
        <v>4.32</v>
      </c>
      <c r="K336" s="11" t="n">
        <v>4.45</v>
      </c>
      <c r="L336" s="11" t="n">
        <v>4.69</v>
      </c>
      <c r="M336" s="11" t="n">
        <v>6.03</v>
      </c>
      <c r="N336" s="12" t="n">
        <v>0.163101</v>
      </c>
    </row>
    <row r="337" customFormat="false" ht="15" hidden="false" customHeight="false" outlineLevel="0" collapsed="false">
      <c r="A337" s="7" t="s">
        <v>1092</v>
      </c>
      <c r="B337" s="7" t="s">
        <v>1149</v>
      </c>
      <c r="C337" s="7" t="s">
        <v>1136</v>
      </c>
      <c r="D337" s="7" t="s">
        <v>1093</v>
      </c>
      <c r="E337" s="7" t="s">
        <v>1088</v>
      </c>
      <c r="F337" s="7" t="s">
        <v>1075</v>
      </c>
      <c r="G337" s="10" t="n">
        <v>0</v>
      </c>
      <c r="H337" s="11" t="n">
        <v>0</v>
      </c>
      <c r="I337" s="11" t="n">
        <v>0</v>
      </c>
      <c r="J337" s="11" t="n">
        <v>0</v>
      </c>
      <c r="K337" s="11" t="n">
        <v>0</v>
      </c>
      <c r="L337" s="11" t="n">
        <v>0</v>
      </c>
      <c r="M337" s="11" t="n">
        <v>0</v>
      </c>
      <c r="N337" s="12" t="n">
        <v>0.120985</v>
      </c>
    </row>
    <row r="338" customFormat="false" ht="15" hidden="false" customHeight="false" outlineLevel="0" collapsed="false">
      <c r="A338" s="7" t="s">
        <v>1094</v>
      </c>
      <c r="B338" s="7" t="s">
        <v>1135</v>
      </c>
      <c r="C338" s="7" t="s">
        <v>1136</v>
      </c>
      <c r="D338" s="7" t="s">
        <v>1093</v>
      </c>
      <c r="E338" s="7" t="s">
        <v>1095</v>
      </c>
      <c r="F338" s="7" t="s">
        <v>1096</v>
      </c>
      <c r="G338" s="10" t="n">
        <v>0</v>
      </c>
      <c r="H338" s="11" t="n">
        <v>29.86</v>
      </c>
      <c r="I338" s="11" t="n">
        <v>-21.54</v>
      </c>
      <c r="J338" s="11" t="n">
        <v>-21.54</v>
      </c>
      <c r="K338" s="11" t="n">
        <v>0.35</v>
      </c>
      <c r="L338" s="11" t="n">
        <v>-1.46</v>
      </c>
      <c r="M338" s="11" t="n">
        <v>-2</v>
      </c>
      <c r="N338" s="12" t="n">
        <v>0.096472</v>
      </c>
    </row>
    <row r="339" customFormat="false" ht="15" hidden="false" customHeight="false" outlineLevel="0" collapsed="false">
      <c r="A339" s="7" t="s">
        <v>1094</v>
      </c>
      <c r="B339" s="7" t="s">
        <v>1149</v>
      </c>
      <c r="C339" s="7" t="s">
        <v>1136</v>
      </c>
      <c r="D339" s="7" t="s">
        <v>1093</v>
      </c>
      <c r="E339" s="7" t="s">
        <v>1095</v>
      </c>
      <c r="F339" s="7" t="s">
        <v>1096</v>
      </c>
      <c r="G339" s="10" t="n">
        <v>0</v>
      </c>
      <c r="H339" s="11" t="n">
        <v>0</v>
      </c>
      <c r="I339" s="11" t="n">
        <v>0</v>
      </c>
      <c r="J339" s="11" t="n">
        <v>0</v>
      </c>
      <c r="K339" s="11" t="n">
        <v>0</v>
      </c>
      <c r="L339" s="11" t="n">
        <v>0</v>
      </c>
      <c r="M339" s="11" t="n">
        <v>0</v>
      </c>
      <c r="N339" s="12" t="n">
        <v>0.095437</v>
      </c>
    </row>
    <row r="340" customFormat="false" ht="15" hidden="false" customHeight="false" outlineLevel="0" collapsed="false">
      <c r="A340" s="7" t="s">
        <v>1094</v>
      </c>
      <c r="B340" s="7" t="s">
        <v>1135</v>
      </c>
      <c r="C340" s="7" t="s">
        <v>1136</v>
      </c>
      <c r="D340" s="7" t="s">
        <v>1093</v>
      </c>
      <c r="E340" s="7" t="s">
        <v>1095</v>
      </c>
      <c r="F340" s="7" t="s">
        <v>1096</v>
      </c>
      <c r="G340" s="10" t="n">
        <v>0</v>
      </c>
      <c r="H340" s="11" t="n">
        <v>0</v>
      </c>
      <c r="I340" s="11" t="n">
        <v>0</v>
      </c>
      <c r="J340" s="11" t="n">
        <v>0</v>
      </c>
      <c r="K340" s="11" t="n">
        <v>0</v>
      </c>
      <c r="L340" s="11" t="n">
        <v>0</v>
      </c>
      <c r="M340" s="11" t="n">
        <v>0</v>
      </c>
      <c r="N340" s="12" t="n">
        <v>0.005368</v>
      </c>
    </row>
    <row r="341" customFormat="false" ht="15" hidden="false" customHeight="false" outlineLevel="0" collapsed="false">
      <c r="A341" s="7" t="s">
        <v>1094</v>
      </c>
      <c r="B341" s="7" t="s">
        <v>1149</v>
      </c>
      <c r="C341" s="7" t="s">
        <v>1136</v>
      </c>
      <c r="D341" s="7" t="s">
        <v>1093</v>
      </c>
      <c r="E341" s="7" t="s">
        <v>1095</v>
      </c>
      <c r="F341" s="7" t="s">
        <v>1096</v>
      </c>
      <c r="G341" s="10" t="n">
        <v>0</v>
      </c>
      <c r="H341" s="11" t="n">
        <v>0</v>
      </c>
      <c r="I341" s="11" t="n">
        <v>0</v>
      </c>
      <c r="J341" s="11" t="n">
        <v>0</v>
      </c>
      <c r="K341" s="11" t="n">
        <v>0</v>
      </c>
      <c r="L341" s="11" t="n">
        <v>0</v>
      </c>
      <c r="M341" s="11" t="n">
        <v>0</v>
      </c>
      <c r="N341" s="12" t="n">
        <v>0.00531</v>
      </c>
    </row>
    <row r="342" customFormat="false" ht="15" hidden="false" customHeight="false" outlineLevel="0" collapsed="false">
      <c r="A342" s="7" t="s">
        <v>1097</v>
      </c>
      <c r="B342" s="7" t="s">
        <v>1135</v>
      </c>
      <c r="C342" s="7" t="s">
        <v>1136</v>
      </c>
      <c r="D342" s="7" t="s">
        <v>1098</v>
      </c>
      <c r="E342" s="7" t="s">
        <v>49</v>
      </c>
      <c r="F342" s="7"/>
      <c r="G342" s="10" t="n">
        <v>0</v>
      </c>
      <c r="H342" s="11" t="n">
        <v>-0.99</v>
      </c>
      <c r="I342" s="11" t="n">
        <v>1.08</v>
      </c>
      <c r="J342" s="11" t="n">
        <v>1.08</v>
      </c>
      <c r="K342" s="11" t="n">
        <v>4.82</v>
      </c>
      <c r="L342" s="11" t="n">
        <v>13.86</v>
      </c>
      <c r="M342" s="11" t="n">
        <v>36.49</v>
      </c>
      <c r="N342" s="12" t="n">
        <v>22.802894</v>
      </c>
    </row>
    <row r="343" customFormat="false" ht="15" hidden="false" customHeight="false" outlineLevel="0" collapsed="false">
      <c r="A343" s="7" t="s">
        <v>1099</v>
      </c>
      <c r="B343" s="7" t="s">
        <v>1135</v>
      </c>
      <c r="C343" s="7" t="s">
        <v>1136</v>
      </c>
      <c r="D343" s="7" t="s">
        <v>1098</v>
      </c>
      <c r="E343" s="7" t="s">
        <v>91</v>
      </c>
      <c r="F343" s="7"/>
      <c r="G343" s="10" t="n">
        <v>0</v>
      </c>
      <c r="H343" s="11" t="n">
        <v>-0.31</v>
      </c>
      <c r="I343" s="11" t="n">
        <v>1.16</v>
      </c>
      <c r="J343" s="11" t="n">
        <v>1.16</v>
      </c>
      <c r="K343" s="11" t="n">
        <v>4.41</v>
      </c>
      <c r="L343" s="11" t="n">
        <v>2.13</v>
      </c>
      <c r="M343" s="11" t="n">
        <v>10.46</v>
      </c>
      <c r="N343" s="12" t="n">
        <v>181.532488</v>
      </c>
    </row>
    <row r="344" customFormat="false" ht="15" hidden="false" customHeight="false" outlineLevel="0" collapsed="false">
      <c r="A344" s="7" t="s">
        <v>1099</v>
      </c>
      <c r="B344" s="7" t="s">
        <v>1149</v>
      </c>
      <c r="C344" s="7" t="s">
        <v>1136</v>
      </c>
      <c r="D344" s="7" t="s">
        <v>1098</v>
      </c>
      <c r="E344" s="7" t="s">
        <v>91</v>
      </c>
      <c r="F344" s="7"/>
      <c r="G344" s="10" t="n">
        <v>0</v>
      </c>
      <c r="H344" s="11" t="n">
        <v>-0.31</v>
      </c>
      <c r="I344" s="11" t="n">
        <v>1.19</v>
      </c>
      <c r="J344" s="11" t="n">
        <v>1.19</v>
      </c>
      <c r="K344" s="11" t="n">
        <v>5.57</v>
      </c>
      <c r="L344" s="11" t="n">
        <v>3.62</v>
      </c>
      <c r="M344" s="11" t="n">
        <v>13.71</v>
      </c>
      <c r="N344" s="12" t="n">
        <v>198.638909</v>
      </c>
    </row>
    <row r="345" customFormat="false" ht="15" hidden="false" customHeight="false" outlineLevel="0" collapsed="false">
      <c r="A345" s="7" t="s">
        <v>1100</v>
      </c>
      <c r="B345" s="7" t="s">
        <v>1135</v>
      </c>
      <c r="C345" s="7" t="s">
        <v>1136</v>
      </c>
      <c r="D345" s="7" t="s">
        <v>1098</v>
      </c>
      <c r="E345" s="7" t="s">
        <v>91</v>
      </c>
      <c r="F345" s="7"/>
      <c r="G345" s="10" t="n">
        <v>100000</v>
      </c>
      <c r="H345" s="11" t="n">
        <v>-0.51</v>
      </c>
      <c r="I345" s="11" t="n">
        <v>-1.95</v>
      </c>
      <c r="J345" s="11" t="n">
        <v>-1.95</v>
      </c>
      <c r="K345" s="11" t="n">
        <v>-3.81</v>
      </c>
      <c r="L345" s="11" t="n">
        <v>-5</v>
      </c>
      <c r="M345" s="11" t="n">
        <v>-3.38</v>
      </c>
      <c r="N345" s="12" t="n">
        <v>14.597888</v>
      </c>
    </row>
    <row r="346" customFormat="false" ht="15" hidden="false" customHeight="false" outlineLevel="0" collapsed="false">
      <c r="A346" s="7" t="s">
        <v>1101</v>
      </c>
      <c r="B346" s="7" t="s">
        <v>1135</v>
      </c>
      <c r="C346" s="7" t="s">
        <v>1136</v>
      </c>
      <c r="D346" s="7" t="s">
        <v>1098</v>
      </c>
      <c r="E346" s="7" t="s">
        <v>91</v>
      </c>
      <c r="F346" s="7"/>
      <c r="G346" s="10" t="n">
        <v>0</v>
      </c>
      <c r="H346" s="11" t="n">
        <v>-0.01</v>
      </c>
      <c r="I346" s="11" t="n">
        <v>0.04</v>
      </c>
      <c r="J346" s="11" t="n">
        <v>0.04</v>
      </c>
      <c r="K346" s="11" t="n">
        <v>1.12</v>
      </c>
      <c r="L346" s="11" t="n">
        <v>2.92</v>
      </c>
      <c r="M346" s="11" t="n">
        <v>10.4</v>
      </c>
      <c r="N346" s="12" t="n">
        <v>116.699003</v>
      </c>
    </row>
    <row r="347" customFormat="false" ht="15" hidden="false" customHeight="false" outlineLevel="0" collapsed="false">
      <c r="A347" s="7" t="s">
        <v>1101</v>
      </c>
      <c r="B347" s="7" t="s">
        <v>1149</v>
      </c>
      <c r="C347" s="7" t="s">
        <v>1136</v>
      </c>
      <c r="D347" s="7" t="s">
        <v>1098</v>
      </c>
      <c r="E347" s="7" t="s">
        <v>91</v>
      </c>
      <c r="F347" s="7"/>
      <c r="G347" s="10" t="n">
        <v>0</v>
      </c>
      <c r="H347" s="11" t="n">
        <v>-0.01</v>
      </c>
      <c r="I347" s="11" t="n">
        <v>0.07</v>
      </c>
      <c r="J347" s="11" t="n">
        <v>0.07</v>
      </c>
      <c r="K347" s="11" t="n">
        <v>2.25</v>
      </c>
      <c r="L347" s="11" t="n">
        <v>4.42</v>
      </c>
      <c r="M347" s="11" t="n">
        <v>13.66</v>
      </c>
      <c r="N347" s="12" t="n">
        <v>144.742548</v>
      </c>
    </row>
    <row r="348" customFormat="false" ht="15" hidden="false" customHeight="false" outlineLevel="0" collapsed="false">
      <c r="A348" s="7" t="s">
        <v>1101</v>
      </c>
      <c r="B348" s="7" t="s">
        <v>1141</v>
      </c>
      <c r="C348" s="7" t="s">
        <v>1136</v>
      </c>
      <c r="D348" s="7" t="s">
        <v>1098</v>
      </c>
      <c r="E348" s="7" t="s">
        <v>91</v>
      </c>
      <c r="F348" s="7"/>
      <c r="G348" s="10" t="n">
        <v>0</v>
      </c>
      <c r="H348" s="11" t="n">
        <v>0</v>
      </c>
      <c r="I348" s="11" t="n">
        <v>0</v>
      </c>
      <c r="J348" s="11" t="n">
        <v>0</v>
      </c>
      <c r="K348" s="11" t="n">
        <v>0</v>
      </c>
      <c r="L348" s="11" t="n">
        <v>0</v>
      </c>
      <c r="M348" s="11" t="n">
        <v>0</v>
      </c>
      <c r="N348" s="12" t="n">
        <v>25</v>
      </c>
    </row>
    <row r="349" customFormat="false" ht="15" hidden="false" customHeight="false" outlineLevel="0" collapsed="false">
      <c r="A349" s="7" t="s">
        <v>1101</v>
      </c>
      <c r="B349" s="7" t="s">
        <v>1153</v>
      </c>
      <c r="C349" s="7" t="s">
        <v>1136</v>
      </c>
      <c r="D349" s="7" t="s">
        <v>1098</v>
      </c>
      <c r="E349" s="7" t="s">
        <v>91</v>
      </c>
      <c r="F349" s="7"/>
      <c r="G349" s="10" t="n">
        <v>0</v>
      </c>
      <c r="H349" s="11" t="n">
        <v>0</v>
      </c>
      <c r="I349" s="11" t="n">
        <v>0</v>
      </c>
      <c r="J349" s="11" t="n">
        <v>0</v>
      </c>
      <c r="K349" s="11" t="n">
        <v>0</v>
      </c>
      <c r="L349" s="11" t="n">
        <v>0</v>
      </c>
      <c r="M349" s="11" t="n">
        <v>0</v>
      </c>
      <c r="N349" s="12" t="n">
        <v>25</v>
      </c>
    </row>
    <row r="350" customFormat="false" ht="15" hidden="false" customHeight="false" outlineLevel="0" collapsed="false">
      <c r="A350" s="7" t="s">
        <v>1101</v>
      </c>
      <c r="B350" s="7" t="s">
        <v>1158</v>
      </c>
      <c r="C350" s="7" t="s">
        <v>1136</v>
      </c>
      <c r="D350" s="7" t="s">
        <v>1098</v>
      </c>
      <c r="E350" s="7" t="s">
        <v>91</v>
      </c>
      <c r="F350" s="7"/>
      <c r="G350" s="10" t="n">
        <v>0</v>
      </c>
      <c r="H350" s="11" t="n">
        <v>0</v>
      </c>
      <c r="I350" s="11" t="n">
        <v>0</v>
      </c>
      <c r="J350" s="11" t="n">
        <v>0</v>
      </c>
      <c r="K350" s="11" t="n">
        <v>0</v>
      </c>
      <c r="L350" s="11" t="n">
        <v>0</v>
      </c>
      <c r="M350" s="11" t="n">
        <v>0</v>
      </c>
      <c r="N350" s="12" t="n">
        <v>25</v>
      </c>
    </row>
    <row r="351" customFormat="false" ht="15" hidden="false" customHeight="false" outlineLevel="0" collapsed="false">
      <c r="A351" s="7" t="s">
        <v>1102</v>
      </c>
      <c r="B351" s="7" t="s">
        <v>1135</v>
      </c>
      <c r="C351" s="7" t="s">
        <v>1136</v>
      </c>
      <c r="D351" s="7" t="s">
        <v>1098</v>
      </c>
      <c r="E351" s="7" t="s">
        <v>91</v>
      </c>
      <c r="F351" s="7"/>
      <c r="G351" s="10" t="n">
        <v>0</v>
      </c>
      <c r="H351" s="11" t="n">
        <v>-0.64</v>
      </c>
      <c r="I351" s="11" t="n">
        <v>1.87</v>
      </c>
      <c r="J351" s="11" t="n">
        <v>1.87</v>
      </c>
      <c r="K351" s="11" t="n">
        <v>19.36</v>
      </c>
      <c r="L351" s="11" t="n">
        <v>6.68</v>
      </c>
      <c r="M351" s="11" t="n">
        <v>0</v>
      </c>
      <c r="N351" s="12" t="n">
        <v>16.227687</v>
      </c>
    </row>
    <row r="352" customFormat="false" ht="15" hidden="false" customHeight="false" outlineLevel="0" collapsed="false">
      <c r="A352" s="7" t="s">
        <v>1102</v>
      </c>
      <c r="B352" s="7" t="s">
        <v>1149</v>
      </c>
      <c r="C352" s="7" t="s">
        <v>1136</v>
      </c>
      <c r="D352" s="7" t="s">
        <v>1098</v>
      </c>
      <c r="E352" s="7" t="s">
        <v>91</v>
      </c>
      <c r="F352" s="7"/>
      <c r="G352" s="10" t="n">
        <v>0</v>
      </c>
      <c r="H352" s="11" t="n">
        <v>0</v>
      </c>
      <c r="I352" s="11" t="n">
        <v>0</v>
      </c>
      <c r="J352" s="11" t="n">
        <v>0</v>
      </c>
      <c r="K352" s="11" t="n">
        <v>0</v>
      </c>
      <c r="L352" s="11" t="n">
        <v>0</v>
      </c>
      <c r="M352" s="11" t="n">
        <v>0</v>
      </c>
      <c r="N352" s="12" t="n">
        <v>9.919743</v>
      </c>
    </row>
    <row r="353" customFormat="false" ht="15" hidden="false" customHeight="false" outlineLevel="0" collapsed="false">
      <c r="A353" s="7" t="s">
        <v>1102</v>
      </c>
      <c r="B353" s="7" t="s">
        <v>1153</v>
      </c>
      <c r="C353" s="7" t="s">
        <v>1136</v>
      </c>
      <c r="D353" s="7" t="s">
        <v>1098</v>
      </c>
      <c r="E353" s="7" t="s">
        <v>91</v>
      </c>
      <c r="F353" s="7"/>
      <c r="G353" s="10" t="n">
        <v>0</v>
      </c>
      <c r="H353" s="11" t="n">
        <v>0</v>
      </c>
      <c r="I353" s="11" t="n">
        <v>0</v>
      </c>
      <c r="J353" s="11" t="n">
        <v>0</v>
      </c>
      <c r="K353" s="11" t="n">
        <v>0</v>
      </c>
      <c r="L353" s="11" t="n">
        <v>0</v>
      </c>
      <c r="M353" s="11" t="n">
        <v>0</v>
      </c>
      <c r="N353" s="12" t="n">
        <v>10</v>
      </c>
    </row>
    <row r="354" customFormat="false" ht="15" hidden="false" customHeight="false" outlineLevel="0" collapsed="false">
      <c r="A354" s="7" t="s">
        <v>1108</v>
      </c>
      <c r="B354" s="7" t="s">
        <v>1137</v>
      </c>
      <c r="C354" s="7" t="s">
        <v>1136</v>
      </c>
      <c r="D354" s="7" t="s">
        <v>1098</v>
      </c>
      <c r="E354" s="7" t="s">
        <v>91</v>
      </c>
      <c r="F354" s="7"/>
      <c r="G354" s="10" t="n">
        <v>0</v>
      </c>
      <c r="H354" s="11" t="n">
        <v>-19.18</v>
      </c>
      <c r="I354" s="11" t="n">
        <v>-21.87</v>
      </c>
      <c r="J354" s="11" t="n">
        <v>-21.87</v>
      </c>
      <c r="K354" s="11" t="n">
        <v>-0.82</v>
      </c>
      <c r="L354" s="11" t="n">
        <v>-1.62</v>
      </c>
      <c r="M354" s="11" t="n">
        <v>-1.84</v>
      </c>
      <c r="N354" s="12" t="n">
        <v>9.730204</v>
      </c>
    </row>
    <row r="355" customFormat="false" ht="15" hidden="false" customHeight="false" outlineLevel="0" collapsed="false">
      <c r="A355" s="7" t="s">
        <v>1108</v>
      </c>
      <c r="B355" s="7" t="s">
        <v>1138</v>
      </c>
      <c r="C355" s="7" t="s">
        <v>1136</v>
      </c>
      <c r="D355" s="7" t="s">
        <v>1098</v>
      </c>
      <c r="E355" s="7" t="s">
        <v>91</v>
      </c>
      <c r="F355" s="7"/>
      <c r="G355" s="10" t="n">
        <v>10000000</v>
      </c>
      <c r="H355" s="11" t="n">
        <v>-18.71</v>
      </c>
      <c r="I355" s="11" t="n">
        <v>-21.42</v>
      </c>
      <c r="J355" s="11" t="n">
        <v>-21.42</v>
      </c>
      <c r="K355" s="11" t="n">
        <v>-0.26</v>
      </c>
      <c r="L355" s="11" t="n">
        <v>-1.06</v>
      </c>
      <c r="M355" s="11" t="n">
        <v>-1.28</v>
      </c>
      <c r="N355" s="12" t="n">
        <v>10.957856</v>
      </c>
    </row>
    <row r="356" customFormat="false" ht="15" hidden="false" customHeight="false" outlineLevel="0" collapsed="false">
      <c r="A356" s="7" t="s">
        <v>1108</v>
      </c>
      <c r="B356" s="7" t="s">
        <v>1141</v>
      </c>
      <c r="C356" s="7" t="s">
        <v>1136</v>
      </c>
      <c r="D356" s="7" t="s">
        <v>1098</v>
      </c>
      <c r="E356" s="7" t="s">
        <v>91</v>
      </c>
      <c r="F356" s="7"/>
      <c r="G356" s="10" t="n">
        <v>0</v>
      </c>
      <c r="H356" s="11" t="n">
        <v>0</v>
      </c>
      <c r="I356" s="11" t="n">
        <v>0</v>
      </c>
      <c r="J356" s="11" t="n">
        <v>0</v>
      </c>
      <c r="K356" s="11" t="n">
        <v>0</v>
      </c>
      <c r="L356" s="11" t="n">
        <v>0</v>
      </c>
      <c r="M356" s="11" t="n">
        <v>0</v>
      </c>
      <c r="N356" s="12" t="n">
        <v>10</v>
      </c>
    </row>
    <row r="357" customFormat="false" ht="15" hidden="false" customHeight="false" outlineLevel="0" collapsed="false">
      <c r="A357" s="7" t="s">
        <v>1103</v>
      </c>
      <c r="B357" s="7" t="s">
        <v>1135</v>
      </c>
      <c r="C357" s="7" t="s">
        <v>1136</v>
      </c>
      <c r="D357" s="7" t="s">
        <v>1098</v>
      </c>
      <c r="E357" s="7" t="s">
        <v>91</v>
      </c>
      <c r="F357" s="7"/>
      <c r="G357" s="10" t="n">
        <v>0</v>
      </c>
      <c r="H357" s="11" t="n">
        <v>-1.19</v>
      </c>
      <c r="I357" s="11" t="n">
        <v>-2.37</v>
      </c>
      <c r="J357" s="11" t="n">
        <v>-2.37</v>
      </c>
      <c r="K357" s="11" t="n">
        <v>3.36</v>
      </c>
      <c r="L357" s="11" t="n">
        <v>4.94</v>
      </c>
      <c r="M357" s="11" t="n">
        <v>14.11</v>
      </c>
      <c r="N357" s="12" t="n">
        <v>3.074967</v>
      </c>
    </row>
    <row r="358" customFormat="false" ht="15" hidden="false" customHeight="false" outlineLevel="0" collapsed="false">
      <c r="A358" s="7" t="s">
        <v>1103</v>
      </c>
      <c r="B358" s="7" t="s">
        <v>1149</v>
      </c>
      <c r="C358" s="7" t="s">
        <v>1136</v>
      </c>
      <c r="D358" s="7" t="s">
        <v>1098</v>
      </c>
      <c r="E358" s="7" t="s">
        <v>91</v>
      </c>
      <c r="F358" s="7"/>
      <c r="G358" s="10" t="n">
        <v>0</v>
      </c>
      <c r="H358" s="11" t="n">
        <v>-1.19</v>
      </c>
      <c r="I358" s="11" t="n">
        <v>-2.34</v>
      </c>
      <c r="J358" s="11" t="n">
        <v>-2.34</v>
      </c>
      <c r="K358" s="11" t="n">
        <v>4.53</v>
      </c>
      <c r="L358" s="11" t="n">
        <v>6.49</v>
      </c>
      <c r="M358" s="11" t="n">
        <v>17.52</v>
      </c>
      <c r="N358" s="12" t="n">
        <v>2.959739</v>
      </c>
    </row>
    <row r="359" customFormat="false" ht="15" hidden="false" customHeight="false" outlineLevel="0" collapsed="false">
      <c r="A359" s="7" t="s">
        <v>1104</v>
      </c>
      <c r="B359" s="7" t="s">
        <v>1135</v>
      </c>
      <c r="C359" s="7" t="s">
        <v>1136</v>
      </c>
      <c r="D359" s="7" t="s">
        <v>1098</v>
      </c>
      <c r="E359" s="7" t="s">
        <v>91</v>
      </c>
      <c r="F359" s="7"/>
      <c r="G359" s="10" t="n">
        <v>0</v>
      </c>
      <c r="H359" s="11" t="n">
        <v>-1.23</v>
      </c>
      <c r="I359" s="11" t="n">
        <v>0.62</v>
      </c>
      <c r="J359" s="11" t="n">
        <v>0.62</v>
      </c>
      <c r="K359" s="11" t="n">
        <v>20.74</v>
      </c>
      <c r="L359" s="11" t="n">
        <v>21.05</v>
      </c>
      <c r="M359" s="11" t="n">
        <v>27.89</v>
      </c>
      <c r="N359" s="12" t="n">
        <v>15.70341</v>
      </c>
    </row>
    <row r="360" customFormat="false" ht="15" hidden="false" customHeight="false" outlineLevel="0" collapsed="false">
      <c r="A360" s="7" t="s">
        <v>1104</v>
      </c>
      <c r="B360" s="7" t="s">
        <v>1149</v>
      </c>
      <c r="C360" s="7" t="s">
        <v>1136</v>
      </c>
      <c r="D360" s="7" t="s">
        <v>1098</v>
      </c>
      <c r="E360" s="7" t="s">
        <v>91</v>
      </c>
      <c r="F360" s="7"/>
      <c r="G360" s="10" t="n">
        <v>0</v>
      </c>
      <c r="H360" s="11" t="n">
        <v>0</v>
      </c>
      <c r="I360" s="11" t="n">
        <v>0</v>
      </c>
      <c r="J360" s="11" t="n">
        <v>0</v>
      </c>
      <c r="K360" s="11" t="n">
        <v>0</v>
      </c>
      <c r="L360" s="11" t="n">
        <v>0</v>
      </c>
      <c r="M360" s="11" t="n">
        <v>0</v>
      </c>
      <c r="N360" s="12" t="n">
        <v>8.445566</v>
      </c>
    </row>
    <row r="361" customFormat="false" ht="15" hidden="false" customHeight="false" outlineLevel="0" collapsed="false">
      <c r="A361" s="7" t="s">
        <v>1105</v>
      </c>
      <c r="B361" s="7" t="s">
        <v>1135</v>
      </c>
      <c r="C361" s="7" t="s">
        <v>1136</v>
      </c>
      <c r="D361" s="7" t="s">
        <v>1098</v>
      </c>
      <c r="E361" s="7" t="s">
        <v>91</v>
      </c>
      <c r="F361" s="7"/>
      <c r="G361" s="10" t="n">
        <v>0</v>
      </c>
      <c r="H361" s="11" t="n">
        <v>0</v>
      </c>
      <c r="I361" s="11" t="n">
        <v>0</v>
      </c>
      <c r="J361" s="11" t="n">
        <v>0</v>
      </c>
      <c r="K361" s="11" t="n">
        <v>0</v>
      </c>
      <c r="L361" s="11" t="n">
        <v>0</v>
      </c>
      <c r="M361" s="11" t="n">
        <v>0</v>
      </c>
      <c r="N361" s="12" t="n">
        <v>12.428274</v>
      </c>
    </row>
    <row r="362" customFormat="false" ht="15" hidden="false" customHeight="false" outlineLevel="0" collapsed="false">
      <c r="A362" s="7" t="s">
        <v>1105</v>
      </c>
      <c r="B362" s="7" t="s">
        <v>1149</v>
      </c>
      <c r="C362" s="7" t="s">
        <v>1136</v>
      </c>
      <c r="D362" s="7" t="s">
        <v>1098</v>
      </c>
      <c r="E362" s="7" t="s">
        <v>91</v>
      </c>
      <c r="F362" s="7"/>
      <c r="G362" s="10" t="n">
        <v>0</v>
      </c>
      <c r="H362" s="11" t="n">
        <v>0</v>
      </c>
      <c r="I362" s="11" t="n">
        <v>0</v>
      </c>
      <c r="J362" s="11" t="n">
        <v>0</v>
      </c>
      <c r="K362" s="11" t="n">
        <v>0</v>
      </c>
      <c r="L362" s="11" t="n">
        <v>0</v>
      </c>
      <c r="M362" s="11" t="n">
        <v>0</v>
      </c>
      <c r="N362" s="12" t="n">
        <v>11.538035</v>
      </c>
    </row>
    <row r="363" customFormat="false" ht="15" hidden="false" customHeight="false" outlineLevel="0" collapsed="false">
      <c r="A363" s="7" t="s">
        <v>1106</v>
      </c>
      <c r="B363" s="7" t="s">
        <v>1135</v>
      </c>
      <c r="C363" s="7" t="s">
        <v>1136</v>
      </c>
      <c r="D363" s="7" t="s">
        <v>1098</v>
      </c>
      <c r="E363" s="7" t="s">
        <v>91</v>
      </c>
      <c r="F363" s="7"/>
      <c r="G363" s="10" t="n">
        <v>0</v>
      </c>
      <c r="H363" s="11" t="n">
        <v>-0.92</v>
      </c>
      <c r="I363" s="11" t="n">
        <v>0.79</v>
      </c>
      <c r="J363" s="11" t="n">
        <v>0.79</v>
      </c>
      <c r="K363" s="11" t="n">
        <v>2.77</v>
      </c>
      <c r="L363" s="11" t="n">
        <v>9.71</v>
      </c>
      <c r="M363" s="11" t="n">
        <v>30.91</v>
      </c>
      <c r="N363" s="12" t="n">
        <v>125.693573</v>
      </c>
    </row>
    <row r="364" customFormat="false" ht="15" hidden="false" customHeight="false" outlineLevel="0" collapsed="false">
      <c r="A364" s="7" t="s">
        <v>1106</v>
      </c>
      <c r="B364" s="7" t="s">
        <v>1149</v>
      </c>
      <c r="C364" s="7" t="s">
        <v>1136</v>
      </c>
      <c r="D364" s="7" t="s">
        <v>1098</v>
      </c>
      <c r="E364" s="7" t="s">
        <v>91</v>
      </c>
      <c r="F364" s="7"/>
      <c r="G364" s="10" t="n">
        <v>0</v>
      </c>
      <c r="H364" s="11" t="n">
        <v>0</v>
      </c>
      <c r="I364" s="11" t="n">
        <v>0</v>
      </c>
      <c r="J364" s="11" t="n">
        <v>0</v>
      </c>
      <c r="K364" s="11" t="n">
        <v>0</v>
      </c>
      <c r="L364" s="11" t="n">
        <v>0</v>
      </c>
      <c r="M364" s="11" t="n">
        <v>0</v>
      </c>
      <c r="N364" s="12" t="n">
        <v>85.623715</v>
      </c>
    </row>
    <row r="365" customFormat="false" ht="15" hidden="false" customHeight="false" outlineLevel="0" collapsed="false">
      <c r="A365" s="7" t="s">
        <v>1107</v>
      </c>
      <c r="B365" s="7" t="s">
        <v>1135</v>
      </c>
      <c r="C365" s="7" t="s">
        <v>1136</v>
      </c>
      <c r="D365" s="7" t="s">
        <v>1098</v>
      </c>
      <c r="E365" s="7" t="s">
        <v>91</v>
      </c>
      <c r="F365" s="7"/>
      <c r="G365" s="10" t="n">
        <v>0</v>
      </c>
      <c r="H365" s="11" t="n">
        <v>0.17</v>
      </c>
      <c r="I365" s="11" t="n">
        <v>2.03</v>
      </c>
      <c r="J365" s="11" t="n">
        <v>2.03</v>
      </c>
      <c r="K365" s="11" t="n">
        <v>10.14</v>
      </c>
      <c r="L365" s="11" t="n">
        <v>10.85</v>
      </c>
      <c r="M365" s="11" t="n">
        <v>27.96</v>
      </c>
      <c r="N365" s="12" t="n">
        <v>158.451428</v>
      </c>
    </row>
    <row r="366" customFormat="false" ht="15" hidden="false" customHeight="false" outlineLevel="0" collapsed="false">
      <c r="A366" s="7" t="s">
        <v>1107</v>
      </c>
      <c r="B366" s="7" t="s">
        <v>1149</v>
      </c>
      <c r="C366" s="7" t="s">
        <v>1136</v>
      </c>
      <c r="D366" s="7" t="s">
        <v>1098</v>
      </c>
      <c r="E366" s="7" t="s">
        <v>91</v>
      </c>
      <c r="F366" s="7"/>
      <c r="G366" s="10" t="n">
        <v>0</v>
      </c>
      <c r="H366" s="11" t="n">
        <v>0.17</v>
      </c>
      <c r="I366" s="11" t="n">
        <v>2.06</v>
      </c>
      <c r="J366" s="11" t="n">
        <v>2.06</v>
      </c>
      <c r="K366" s="11" t="n">
        <v>11.52</v>
      </c>
      <c r="L366" s="11" t="n">
        <v>12.67</v>
      </c>
      <c r="M366" s="11" t="n">
        <v>32.19</v>
      </c>
      <c r="N366" s="12" t="n">
        <v>49.879239</v>
      </c>
    </row>
    <row r="367" customFormat="false" ht="15" hidden="false" customHeight="false" outlineLevel="0" collapsed="false">
      <c r="A367" s="7" t="s">
        <v>1110</v>
      </c>
      <c r="B367" s="7" t="s">
        <v>1135</v>
      </c>
      <c r="C367" s="7" t="s">
        <v>1136</v>
      </c>
      <c r="D367" s="7" t="s">
        <v>1098</v>
      </c>
      <c r="E367" s="7" t="s">
        <v>91</v>
      </c>
      <c r="F367" s="7"/>
      <c r="G367" s="10" t="n">
        <v>0</v>
      </c>
      <c r="H367" s="11" t="n">
        <v>-0.43</v>
      </c>
      <c r="I367" s="11" t="n">
        <v>1.09</v>
      </c>
      <c r="J367" s="11" t="n">
        <v>1.09</v>
      </c>
      <c r="K367" s="11" t="n">
        <v>8.57</v>
      </c>
      <c r="L367" s="11" t="n">
        <v>10.78</v>
      </c>
      <c r="M367" s="11" t="n">
        <v>25.83</v>
      </c>
      <c r="N367" s="12" t="n">
        <v>53.638884</v>
      </c>
    </row>
    <row r="368" customFormat="false" ht="15" hidden="false" customHeight="false" outlineLevel="0" collapsed="false">
      <c r="A368" s="7" t="s">
        <v>1110</v>
      </c>
      <c r="B368" s="7" t="s">
        <v>1149</v>
      </c>
      <c r="C368" s="7" t="s">
        <v>1136</v>
      </c>
      <c r="D368" s="7" t="s">
        <v>1098</v>
      </c>
      <c r="E368" s="7" t="s">
        <v>91</v>
      </c>
      <c r="F368" s="7"/>
      <c r="G368" s="10" t="n">
        <v>0</v>
      </c>
      <c r="H368" s="11" t="n">
        <v>-0.43</v>
      </c>
      <c r="I368" s="11" t="n">
        <v>1.12</v>
      </c>
      <c r="J368" s="11" t="n">
        <v>1.12</v>
      </c>
      <c r="K368" s="11" t="n">
        <v>9.78</v>
      </c>
      <c r="L368" s="11" t="n">
        <v>12.4</v>
      </c>
      <c r="M368" s="11" t="n">
        <v>29.54</v>
      </c>
      <c r="N368" s="12" t="n">
        <v>37.314157</v>
      </c>
    </row>
    <row r="369" customFormat="false" ht="15" hidden="false" customHeight="false" outlineLevel="0" collapsed="false">
      <c r="A369" s="7" t="s">
        <v>1111</v>
      </c>
      <c r="B369" s="7" t="s">
        <v>1135</v>
      </c>
      <c r="C369" s="7" t="s">
        <v>1136</v>
      </c>
      <c r="D369" s="7" t="s">
        <v>1098</v>
      </c>
      <c r="E369" s="7" t="s">
        <v>91</v>
      </c>
      <c r="F369" s="7"/>
      <c r="G369" s="10" t="n">
        <v>0</v>
      </c>
      <c r="H369" s="11" t="n">
        <v>-0.3</v>
      </c>
      <c r="I369" s="11" t="n">
        <v>1.2</v>
      </c>
      <c r="J369" s="11" t="n">
        <v>1.2</v>
      </c>
      <c r="K369" s="11" t="n">
        <v>4.82</v>
      </c>
      <c r="L369" s="11" t="n">
        <v>2.64</v>
      </c>
      <c r="M369" s="11" t="n">
        <v>11.34</v>
      </c>
      <c r="N369" s="12" t="n">
        <v>82.519191</v>
      </c>
    </row>
    <row r="370" customFormat="false" ht="15" hidden="false" customHeight="false" outlineLevel="0" collapsed="false">
      <c r="A370" s="7" t="s">
        <v>1111</v>
      </c>
      <c r="B370" s="7" t="s">
        <v>1149</v>
      </c>
      <c r="C370" s="7" t="s">
        <v>1136</v>
      </c>
      <c r="D370" s="7" t="s">
        <v>1098</v>
      </c>
      <c r="E370" s="7" t="s">
        <v>91</v>
      </c>
      <c r="F370" s="7"/>
      <c r="G370" s="10" t="n">
        <v>0</v>
      </c>
      <c r="H370" s="11" t="n">
        <v>-0.29</v>
      </c>
      <c r="I370" s="11" t="n">
        <v>1.23</v>
      </c>
      <c r="J370" s="11" t="n">
        <v>1.23</v>
      </c>
      <c r="K370" s="11" t="n">
        <v>6.14</v>
      </c>
      <c r="L370" s="11" t="n">
        <v>4.32</v>
      </c>
      <c r="M370" s="11" t="n">
        <v>15.03</v>
      </c>
      <c r="N370" s="12" t="n">
        <v>89.945908</v>
      </c>
    </row>
    <row r="371" customFormat="false" ht="15" hidden="false" customHeight="false" outlineLevel="0" collapsed="false">
      <c r="A371" s="7" t="s">
        <v>1112</v>
      </c>
      <c r="B371" s="7" t="s">
        <v>1135</v>
      </c>
      <c r="C371" s="7" t="s">
        <v>1136</v>
      </c>
      <c r="D371" s="7" t="s">
        <v>1093</v>
      </c>
      <c r="E371" s="7" t="s">
        <v>91</v>
      </c>
      <c r="F371" s="7"/>
      <c r="G371" s="10" t="n">
        <v>0</v>
      </c>
      <c r="H371" s="11" t="n">
        <v>-0.21</v>
      </c>
      <c r="I371" s="11" t="n">
        <v>0.19</v>
      </c>
      <c r="J371" s="11" t="n">
        <v>0.19</v>
      </c>
      <c r="K371" s="11" t="n">
        <v>2.96</v>
      </c>
      <c r="L371" s="11" t="n">
        <v>5.07</v>
      </c>
      <c r="M371" s="11" t="n">
        <v>0</v>
      </c>
      <c r="N371" s="12" t="n">
        <v>0.136394</v>
      </c>
    </row>
    <row r="372" customFormat="false" ht="15" hidden="false" customHeight="false" outlineLevel="0" collapsed="false">
      <c r="A372" s="7" t="s">
        <v>1112</v>
      </c>
      <c r="B372" s="7" t="s">
        <v>1149</v>
      </c>
      <c r="C372" s="7" t="s">
        <v>1136</v>
      </c>
      <c r="D372" s="7" t="s">
        <v>1093</v>
      </c>
      <c r="E372" s="7" t="s">
        <v>91</v>
      </c>
      <c r="F372" s="7"/>
      <c r="G372" s="10" t="n">
        <v>0</v>
      </c>
      <c r="H372" s="11" t="n">
        <v>0</v>
      </c>
      <c r="I372" s="11" t="n">
        <v>0</v>
      </c>
      <c r="J372" s="11" t="n">
        <v>0</v>
      </c>
      <c r="K372" s="11" t="n">
        <v>0</v>
      </c>
      <c r="L372" s="11" t="n">
        <v>0</v>
      </c>
      <c r="M372" s="11" t="n">
        <v>0</v>
      </c>
      <c r="N372" s="12" t="n">
        <v>0.1</v>
      </c>
    </row>
    <row r="373" customFormat="false" ht="15" hidden="false" customHeight="false" outlineLevel="0" collapsed="false">
      <c r="A373" s="7" t="s">
        <v>1114</v>
      </c>
      <c r="B373" s="7" t="s">
        <v>1135</v>
      </c>
      <c r="C373" s="7" t="s">
        <v>1136</v>
      </c>
      <c r="D373" s="7" t="s">
        <v>1093</v>
      </c>
      <c r="E373" s="7" t="s">
        <v>91</v>
      </c>
      <c r="F373" s="7"/>
      <c r="G373" s="10" t="n">
        <v>0</v>
      </c>
      <c r="H373" s="11" t="n">
        <v>-0.55</v>
      </c>
      <c r="I373" s="11" t="n">
        <v>0.85</v>
      </c>
      <c r="J373" s="11" t="n">
        <v>0.85</v>
      </c>
      <c r="K373" s="11" t="n">
        <v>9.61</v>
      </c>
      <c r="L373" s="11" t="n">
        <v>12.58</v>
      </c>
      <c r="M373" s="11" t="n">
        <v>27.04</v>
      </c>
      <c r="N373" s="12" t="n">
        <v>0.181936</v>
      </c>
    </row>
    <row r="374" customFormat="false" ht="15" hidden="false" customHeight="false" outlineLevel="0" collapsed="false">
      <c r="A374" s="7" t="s">
        <v>1114</v>
      </c>
      <c r="B374" s="7" t="s">
        <v>1149</v>
      </c>
      <c r="C374" s="7" t="s">
        <v>1136</v>
      </c>
      <c r="D374" s="7" t="s">
        <v>1093</v>
      </c>
      <c r="E374" s="7" t="s">
        <v>91</v>
      </c>
      <c r="F374" s="7"/>
      <c r="G374" s="10" t="n">
        <v>0</v>
      </c>
      <c r="H374" s="11" t="n">
        <v>0</v>
      </c>
      <c r="I374" s="11" t="n">
        <v>0</v>
      </c>
      <c r="J374" s="11" t="n">
        <v>0</v>
      </c>
      <c r="K374" s="11" t="n">
        <v>0</v>
      </c>
      <c r="L374" s="11" t="n">
        <v>0</v>
      </c>
      <c r="M374" s="11" t="n">
        <v>0</v>
      </c>
      <c r="N374" s="12" t="n">
        <v>0.1</v>
      </c>
    </row>
    <row r="375" customFormat="false" ht="15" hidden="false" customHeight="false" outlineLevel="0" collapsed="false">
      <c r="A375" s="7" t="s">
        <v>1115</v>
      </c>
      <c r="B375" s="7" t="s">
        <v>1135</v>
      </c>
      <c r="C375" s="7" t="s">
        <v>1136</v>
      </c>
      <c r="D375" s="7" t="s">
        <v>1093</v>
      </c>
      <c r="E375" s="7" t="s">
        <v>1095</v>
      </c>
      <c r="F375" s="7"/>
      <c r="G375" s="10" t="n">
        <v>0</v>
      </c>
      <c r="H375" s="11" t="n">
        <v>-0.21</v>
      </c>
      <c r="I375" s="11" t="n">
        <v>-0.4</v>
      </c>
      <c r="J375" s="11" t="n">
        <v>-0.4</v>
      </c>
      <c r="K375" s="11" t="n">
        <v>0.58</v>
      </c>
      <c r="L375" s="11" t="n">
        <v>-0.39</v>
      </c>
      <c r="M375" s="11" t="n">
        <v>-0.72</v>
      </c>
      <c r="N375" s="12" t="n">
        <v>0.10566</v>
      </c>
    </row>
    <row r="376" customFormat="false" ht="15" hidden="false" customHeight="false" outlineLevel="0" collapsed="false">
      <c r="A376" s="7" t="s">
        <v>1115</v>
      </c>
      <c r="B376" s="7" t="s">
        <v>1149</v>
      </c>
      <c r="C376" s="7" t="s">
        <v>1136</v>
      </c>
      <c r="D376" s="7" t="s">
        <v>1093</v>
      </c>
      <c r="E376" s="7" t="s">
        <v>1095</v>
      </c>
      <c r="F376" s="7"/>
      <c r="G376" s="10" t="n">
        <v>0</v>
      </c>
      <c r="H376" s="11" t="n">
        <v>-0.21</v>
      </c>
      <c r="I376" s="11" t="n">
        <v>-0.39</v>
      </c>
      <c r="J376" s="11" t="n">
        <v>-0.39</v>
      </c>
      <c r="K376" s="11" t="n">
        <v>0.81</v>
      </c>
      <c r="L376" s="11" t="n">
        <v>-0.08</v>
      </c>
      <c r="M376" s="11" t="n">
        <v>-0.06</v>
      </c>
      <c r="N376" s="12" t="n">
        <v>0.10022</v>
      </c>
    </row>
    <row r="377" customFormat="false" ht="15" hidden="false" customHeight="false" outlineLevel="0" collapsed="false">
      <c r="A377" s="7" t="s">
        <v>1116</v>
      </c>
      <c r="B377" s="7" t="s">
        <v>1135</v>
      </c>
      <c r="C377" s="7" t="s">
        <v>1136</v>
      </c>
      <c r="D377" s="7" t="s">
        <v>1093</v>
      </c>
      <c r="E377" s="7" t="s">
        <v>1095</v>
      </c>
      <c r="F377" s="7"/>
      <c r="G377" s="10" t="n">
        <v>0</v>
      </c>
      <c r="H377" s="11" t="n">
        <v>-0.57</v>
      </c>
      <c r="I377" s="11" t="n">
        <v>0.11</v>
      </c>
      <c r="J377" s="11" t="n">
        <v>0.11</v>
      </c>
      <c r="K377" s="11" t="n">
        <v>10.11</v>
      </c>
      <c r="L377" s="11" t="n">
        <v>10.05</v>
      </c>
      <c r="M377" s="11" t="n">
        <v>15.22</v>
      </c>
      <c r="N377" s="12" t="n">
        <v>0.149933</v>
      </c>
    </row>
    <row r="378" customFormat="false" ht="15" hidden="false" customHeight="false" outlineLevel="0" collapsed="false">
      <c r="A378" s="7" t="s">
        <v>1116</v>
      </c>
      <c r="B378" s="7" t="s">
        <v>1149</v>
      </c>
      <c r="C378" s="7" t="s">
        <v>1136</v>
      </c>
      <c r="D378" s="7" t="s">
        <v>1093</v>
      </c>
      <c r="E378" s="7" t="s">
        <v>1095</v>
      </c>
      <c r="F378" s="7"/>
      <c r="G378" s="10" t="n">
        <v>0</v>
      </c>
      <c r="H378" s="11" t="n">
        <v>-0.56</v>
      </c>
      <c r="I378" s="11" t="n">
        <v>0.13</v>
      </c>
      <c r="J378" s="11" t="n">
        <v>0.13</v>
      </c>
      <c r="K378" s="11" t="n">
        <v>10.93</v>
      </c>
      <c r="L378" s="11" t="n">
        <v>11.13</v>
      </c>
      <c r="M378" s="11" t="n">
        <v>17.51</v>
      </c>
      <c r="N378" s="12" t="n">
        <v>0.145561</v>
      </c>
    </row>
    <row r="379" customFormat="false" ht="15" hidden="false" customHeight="false" outlineLevel="0" collapsed="false">
      <c r="A379" s="7" t="s">
        <v>1115</v>
      </c>
      <c r="B379" s="7" t="s">
        <v>1135</v>
      </c>
      <c r="C379" s="7" t="s">
        <v>1136</v>
      </c>
      <c r="D379" s="7" t="s">
        <v>1093</v>
      </c>
      <c r="E379" s="7" t="s">
        <v>1095</v>
      </c>
      <c r="F379" s="7"/>
      <c r="G379" s="10" t="n">
        <v>0</v>
      </c>
      <c r="H379" s="11" t="n">
        <v>-0.27</v>
      </c>
      <c r="I379" s="11" t="n">
        <v>0.14</v>
      </c>
      <c r="J379" s="11" t="n">
        <v>0.14</v>
      </c>
      <c r="K379" s="11" t="n">
        <v>0.71</v>
      </c>
      <c r="L379" s="11" t="n">
        <v>1.89</v>
      </c>
      <c r="M379" s="11" t="n">
        <v>6.57</v>
      </c>
      <c r="N379" s="12" t="n">
        <v>0.005879</v>
      </c>
    </row>
    <row r="380" customFormat="false" ht="15" hidden="false" customHeight="false" outlineLevel="0" collapsed="false">
      <c r="A380" s="7" t="s">
        <v>1115</v>
      </c>
      <c r="B380" s="7" t="s">
        <v>1149</v>
      </c>
      <c r="C380" s="7" t="s">
        <v>1136</v>
      </c>
      <c r="D380" s="7" t="s">
        <v>1093</v>
      </c>
      <c r="E380" s="7" t="s">
        <v>1095</v>
      </c>
      <c r="F380" s="7"/>
      <c r="G380" s="10" t="n">
        <v>0</v>
      </c>
      <c r="H380" s="11" t="n">
        <v>-0.27</v>
      </c>
      <c r="I380" s="11" t="n">
        <v>0.15</v>
      </c>
      <c r="J380" s="11" t="n">
        <v>0.15</v>
      </c>
      <c r="K380" s="11" t="n">
        <v>0.95</v>
      </c>
      <c r="L380" s="11" t="n">
        <v>2.2</v>
      </c>
      <c r="M380" s="11" t="n">
        <v>7.29</v>
      </c>
      <c r="N380" s="12" t="n">
        <v>0.005576</v>
      </c>
    </row>
    <row r="381" customFormat="false" ht="15" hidden="false" customHeight="false" outlineLevel="0" collapsed="false">
      <c r="A381" s="7" t="s">
        <v>1116</v>
      </c>
      <c r="B381" s="7" t="s">
        <v>1135</v>
      </c>
      <c r="C381" s="7" t="s">
        <v>1136</v>
      </c>
      <c r="D381" s="7" t="s">
        <v>1093</v>
      </c>
      <c r="E381" s="7" t="s">
        <v>1095</v>
      </c>
      <c r="F381" s="7"/>
      <c r="G381" s="10" t="n">
        <v>0</v>
      </c>
      <c r="H381" s="11" t="n">
        <v>-0.63</v>
      </c>
      <c r="I381" s="11" t="n">
        <v>0.65</v>
      </c>
      <c r="J381" s="11" t="n">
        <v>0.65</v>
      </c>
      <c r="K381" s="11" t="n">
        <v>10.26</v>
      </c>
      <c r="L381" s="11" t="n">
        <v>12.56</v>
      </c>
      <c r="M381" s="11" t="n">
        <v>23.69</v>
      </c>
      <c r="N381" s="12" t="n">
        <v>0.008342</v>
      </c>
    </row>
    <row r="382" customFormat="false" ht="15" hidden="false" customHeight="false" outlineLevel="0" collapsed="false">
      <c r="A382" s="7" t="s">
        <v>1116</v>
      </c>
      <c r="B382" s="7" t="s">
        <v>1149</v>
      </c>
      <c r="C382" s="7" t="s">
        <v>1136</v>
      </c>
      <c r="D382" s="7" t="s">
        <v>1093</v>
      </c>
      <c r="E382" s="7" t="s">
        <v>1095</v>
      </c>
      <c r="F382" s="7"/>
      <c r="G382" s="10" t="n">
        <v>0</v>
      </c>
      <c r="H382" s="11" t="n">
        <v>-0.63</v>
      </c>
      <c r="I382" s="11" t="n">
        <v>0.67</v>
      </c>
      <c r="J382" s="11" t="n">
        <v>0.67</v>
      </c>
      <c r="K382" s="11" t="n">
        <v>11.08</v>
      </c>
      <c r="L382" s="11" t="n">
        <v>13.66</v>
      </c>
      <c r="M382" s="11" t="n">
        <v>26.14</v>
      </c>
      <c r="N382" s="12" t="n">
        <v>0.008099</v>
      </c>
    </row>
    <row r="383" customFormat="false" ht="15" hidden="false" customHeight="false" outlineLevel="0" collapsed="false">
      <c r="A383" s="7" t="s">
        <v>1117</v>
      </c>
      <c r="B383" s="7" t="s">
        <v>1135</v>
      </c>
      <c r="C383" s="7" t="s">
        <v>1136</v>
      </c>
      <c r="D383" s="7" t="s">
        <v>1118</v>
      </c>
      <c r="E383" s="7" t="s">
        <v>1095</v>
      </c>
      <c r="F383" s="7"/>
      <c r="G383" s="10" t="n">
        <v>0</v>
      </c>
      <c r="H383" s="11" t="n">
        <v>0</v>
      </c>
      <c r="I383" s="11" t="n">
        <v>0.13</v>
      </c>
      <c r="J383" s="11" t="n">
        <v>0.13</v>
      </c>
      <c r="K383" s="11" t="n">
        <v>4</v>
      </c>
      <c r="L383" s="11" t="n">
        <v>5.58</v>
      </c>
      <c r="M383" s="11" t="n">
        <v>14.39</v>
      </c>
      <c r="N383" s="12" t="n">
        <v>15.880873</v>
      </c>
    </row>
    <row r="384" customFormat="false" ht="15" hidden="false" customHeight="false" outlineLevel="0" collapsed="false">
      <c r="A384" s="7" t="s">
        <v>1120</v>
      </c>
      <c r="B384" s="7" t="s">
        <v>1135</v>
      </c>
      <c r="C384" s="7" t="s">
        <v>1136</v>
      </c>
      <c r="D384" s="7" t="s">
        <v>1118</v>
      </c>
      <c r="E384" s="7" t="s">
        <v>1095</v>
      </c>
      <c r="F384" s="7"/>
      <c r="G384" s="10" t="n">
        <v>0</v>
      </c>
      <c r="H384" s="11" t="n">
        <v>-0.16</v>
      </c>
      <c r="I384" s="11" t="n">
        <v>0.27</v>
      </c>
      <c r="J384" s="11" t="n">
        <v>0.27</v>
      </c>
      <c r="K384" s="11" t="n">
        <v>4.82</v>
      </c>
      <c r="L384" s="11" t="n">
        <v>6.81</v>
      </c>
      <c r="M384" s="11" t="n">
        <v>17.28</v>
      </c>
      <c r="N384" s="12" t="n">
        <v>17.221856</v>
      </c>
    </row>
    <row r="385" customFormat="false" ht="15" hidden="false" customHeight="false" outlineLevel="0" collapsed="false">
      <c r="A385" s="7" t="s">
        <v>1121</v>
      </c>
      <c r="B385" s="7" t="s">
        <v>1135</v>
      </c>
      <c r="C385" s="7" t="s">
        <v>1136</v>
      </c>
      <c r="D385" s="7" t="s">
        <v>1118</v>
      </c>
      <c r="E385" s="7" t="s">
        <v>1095</v>
      </c>
      <c r="F385" s="7"/>
      <c r="G385" s="10" t="n">
        <v>0</v>
      </c>
      <c r="H385" s="11" t="n">
        <v>-0.27</v>
      </c>
      <c r="I385" s="11" t="n">
        <v>0.43</v>
      </c>
      <c r="J385" s="11" t="n">
        <v>0.43</v>
      </c>
      <c r="K385" s="11" t="n">
        <v>5.78</v>
      </c>
      <c r="L385" s="11" t="n">
        <v>8.06</v>
      </c>
      <c r="M385" s="11" t="n">
        <v>19.74</v>
      </c>
      <c r="N385" s="12" t="n">
        <v>17.232324</v>
      </c>
    </row>
    <row r="386" customFormat="false" ht="15" hidden="false" customHeight="false" outlineLevel="0" collapsed="false">
      <c r="A386" s="7" t="s">
        <v>1122</v>
      </c>
      <c r="B386" s="7" t="s">
        <v>1135</v>
      </c>
      <c r="C386" s="7" t="s">
        <v>1136</v>
      </c>
      <c r="D386" s="7" t="s">
        <v>1118</v>
      </c>
      <c r="E386" s="7" t="s">
        <v>1095</v>
      </c>
      <c r="F386" s="7"/>
      <c r="G386" s="10" t="n">
        <v>0</v>
      </c>
      <c r="H386" s="11" t="n">
        <v>0</v>
      </c>
      <c r="I386" s="11" t="n">
        <v>0</v>
      </c>
      <c r="J386" s="11" t="n">
        <v>0</v>
      </c>
      <c r="K386" s="11" t="n">
        <v>0</v>
      </c>
      <c r="L386" s="11" t="n">
        <v>0</v>
      </c>
      <c r="M386" s="11" t="n">
        <v>0</v>
      </c>
      <c r="N386" s="12" t="n">
        <v>11.109703</v>
      </c>
    </row>
    <row r="387" customFormat="false" ht="15" hidden="false" customHeight="false" outlineLevel="0" collapsed="false">
      <c r="A387" s="7" t="s">
        <v>1123</v>
      </c>
      <c r="B387" s="7" t="s">
        <v>1135</v>
      </c>
      <c r="C387" s="7" t="s">
        <v>1136</v>
      </c>
      <c r="D387" s="7" t="s">
        <v>1118</v>
      </c>
      <c r="E387" s="7" t="s">
        <v>1124</v>
      </c>
      <c r="F387" s="7"/>
      <c r="G387" s="10" t="n">
        <v>0</v>
      </c>
      <c r="H387" s="11" t="n">
        <v>0.08</v>
      </c>
      <c r="I387" s="11" t="n">
        <v>-0.44</v>
      </c>
      <c r="J387" s="11" t="n">
        <v>-0.44</v>
      </c>
      <c r="K387" s="11" t="n">
        <v>1.43</v>
      </c>
      <c r="L387" s="11" t="n">
        <v>-0.05</v>
      </c>
      <c r="M387" s="11" t="n">
        <v>-1.97</v>
      </c>
      <c r="N387" s="12" t="n">
        <v>10.09777</v>
      </c>
    </row>
    <row r="388" customFormat="false" ht="15" hidden="false" customHeight="false" outlineLevel="0" collapsed="false">
      <c r="A388" s="7" t="s">
        <v>1125</v>
      </c>
      <c r="B388" s="7" t="s">
        <v>1135</v>
      </c>
      <c r="C388" s="7" t="s">
        <v>1136</v>
      </c>
      <c r="D388" s="7" t="s">
        <v>1118</v>
      </c>
      <c r="E388" s="7" t="s">
        <v>1124</v>
      </c>
      <c r="F388" s="7"/>
      <c r="G388" s="10" t="n">
        <v>0</v>
      </c>
      <c r="H388" s="11" t="n">
        <v>-0.06</v>
      </c>
      <c r="I388" s="11" t="n">
        <v>-0.33</v>
      </c>
      <c r="J388" s="11" t="n">
        <v>-0.33</v>
      </c>
      <c r="K388" s="11" t="n">
        <v>2.23</v>
      </c>
      <c r="L388" s="11" t="n">
        <v>1.08</v>
      </c>
      <c r="M388" s="11" t="n">
        <v>0.58</v>
      </c>
      <c r="N388" s="12" t="n">
        <v>10.754438</v>
      </c>
    </row>
    <row r="389" customFormat="false" ht="15" hidden="false" customHeight="false" outlineLevel="0" collapsed="false">
      <c r="A389" s="7" t="s">
        <v>1126</v>
      </c>
      <c r="B389" s="7" t="s">
        <v>1135</v>
      </c>
      <c r="C389" s="7" t="s">
        <v>1136</v>
      </c>
      <c r="D389" s="7" t="s">
        <v>1118</v>
      </c>
      <c r="E389" s="7" t="s">
        <v>1124</v>
      </c>
      <c r="F389" s="7"/>
      <c r="G389" s="10" t="n">
        <v>0</v>
      </c>
      <c r="H389" s="11" t="n">
        <v>0</v>
      </c>
      <c r="I389" s="11" t="n">
        <v>0</v>
      </c>
      <c r="J389" s="11" t="n">
        <v>0</v>
      </c>
      <c r="K389" s="11" t="n">
        <v>0</v>
      </c>
      <c r="L389" s="11" t="n">
        <v>0</v>
      </c>
      <c r="M389" s="11" t="n">
        <v>0</v>
      </c>
      <c r="N389" s="12" t="n">
        <v>9.064196</v>
      </c>
    </row>
    <row r="390" customFormat="false" ht="15" hidden="false" customHeight="false" outlineLevel="0" collapsed="false">
      <c r="A390" s="7" t="s">
        <v>1127</v>
      </c>
      <c r="B390" s="7" t="s">
        <v>1135</v>
      </c>
      <c r="C390" s="7" t="s">
        <v>1136</v>
      </c>
      <c r="D390" s="7" t="s">
        <v>1118</v>
      </c>
      <c r="E390" s="7" t="s">
        <v>1124</v>
      </c>
      <c r="F390" s="7"/>
      <c r="G390" s="10" t="n">
        <v>0</v>
      </c>
      <c r="H390" s="11" t="n">
        <v>0</v>
      </c>
      <c r="I390" s="11" t="n">
        <v>0</v>
      </c>
      <c r="J390" s="11" t="n">
        <v>0</v>
      </c>
      <c r="K390" s="11" t="n">
        <v>0</v>
      </c>
      <c r="L390" s="11" t="n">
        <v>0</v>
      </c>
      <c r="M390" s="11" t="n">
        <v>0</v>
      </c>
      <c r="N390" s="12" t="n">
        <v>10.99518</v>
      </c>
    </row>
    <row r="391" customFormat="false" ht="15" hidden="false" customHeight="false" outlineLevel="0" collapsed="false">
      <c r="A391" s="7" t="s">
        <v>1123</v>
      </c>
      <c r="B391" s="7" t="s">
        <v>1135</v>
      </c>
      <c r="C391" s="7" t="s">
        <v>1136</v>
      </c>
      <c r="D391" s="7" t="s">
        <v>1118</v>
      </c>
      <c r="E391" s="7" t="s">
        <v>1124</v>
      </c>
      <c r="F391" s="7"/>
      <c r="G391" s="10" t="n">
        <v>0</v>
      </c>
      <c r="H391" s="11" t="n">
        <v>0.02</v>
      </c>
      <c r="I391" s="11" t="n">
        <v>0.1</v>
      </c>
      <c r="J391" s="11" t="n">
        <v>0.1</v>
      </c>
      <c r="K391" s="11" t="n">
        <v>1.56</v>
      </c>
      <c r="L391" s="11" t="n">
        <v>2.24</v>
      </c>
      <c r="M391" s="11" t="n">
        <v>5.23</v>
      </c>
      <c r="N391" s="12" t="n">
        <v>0.561846</v>
      </c>
    </row>
    <row r="392" customFormat="false" ht="15" hidden="false" customHeight="false" outlineLevel="0" collapsed="false">
      <c r="A392" s="7" t="s">
        <v>1125</v>
      </c>
      <c r="B392" s="7" t="s">
        <v>1135</v>
      </c>
      <c r="C392" s="7" t="s">
        <v>1136</v>
      </c>
      <c r="D392" s="7" t="s">
        <v>1118</v>
      </c>
      <c r="E392" s="7" t="s">
        <v>1124</v>
      </c>
      <c r="F392" s="7"/>
      <c r="G392" s="10" t="n">
        <v>0</v>
      </c>
      <c r="H392" s="11" t="n">
        <v>-0.12</v>
      </c>
      <c r="I392" s="11" t="n">
        <v>0.2</v>
      </c>
      <c r="J392" s="11" t="n">
        <v>0.2</v>
      </c>
      <c r="K392" s="11" t="n">
        <v>2.37</v>
      </c>
      <c r="L392" s="11" t="n">
        <v>3.38</v>
      </c>
      <c r="M392" s="11" t="n">
        <v>7.97</v>
      </c>
      <c r="N392" s="12" t="n">
        <v>0.598383</v>
      </c>
    </row>
    <row r="393" customFormat="false" ht="15" hidden="false" customHeight="false" outlineLevel="0" collapsed="false">
      <c r="A393" s="7" t="s">
        <v>1126</v>
      </c>
      <c r="B393" s="7" t="s">
        <v>1135</v>
      </c>
      <c r="C393" s="7" t="s">
        <v>1136</v>
      </c>
      <c r="D393" s="7" t="s">
        <v>1118</v>
      </c>
      <c r="E393" s="7" t="s">
        <v>1124</v>
      </c>
      <c r="F393" s="7"/>
      <c r="G393" s="10" t="n">
        <v>0</v>
      </c>
      <c r="H393" s="11" t="n">
        <v>0</v>
      </c>
      <c r="I393" s="11" t="n">
        <v>0</v>
      </c>
      <c r="J393" s="11" t="n">
        <v>0</v>
      </c>
      <c r="K393" s="11" t="n">
        <v>0</v>
      </c>
      <c r="L393" s="11" t="n">
        <v>0</v>
      </c>
      <c r="M393" s="11" t="n">
        <v>0</v>
      </c>
      <c r="N393" s="12" t="n">
        <v>0.504337</v>
      </c>
    </row>
    <row r="394" customFormat="false" ht="15" hidden="false" customHeight="false" outlineLevel="0" collapsed="false">
      <c r="A394" s="7" t="s">
        <v>1127</v>
      </c>
      <c r="B394" s="7" t="s">
        <v>1135</v>
      </c>
      <c r="C394" s="7" t="s">
        <v>1136</v>
      </c>
      <c r="D394" s="7" t="s">
        <v>1118</v>
      </c>
      <c r="E394" s="7" t="s">
        <v>1124</v>
      </c>
      <c r="F394" s="7"/>
      <c r="G394" s="10" t="n">
        <v>0</v>
      </c>
      <c r="H394" s="11" t="n">
        <v>0</v>
      </c>
      <c r="I394" s="11" t="n">
        <v>0</v>
      </c>
      <c r="J394" s="11" t="n">
        <v>0</v>
      </c>
      <c r="K394" s="11" t="n">
        <v>0</v>
      </c>
      <c r="L394" s="11" t="n">
        <v>0</v>
      </c>
      <c r="M394" s="11" t="n">
        <v>0</v>
      </c>
      <c r="N394" s="12" t="n">
        <v>0.611778</v>
      </c>
    </row>
    <row r="395" customFormat="false" ht="15" hidden="false" customHeight="false" outlineLevel="0" collapsed="false">
      <c r="A395" s="7" t="s">
        <v>1128</v>
      </c>
      <c r="B395" s="7" t="s">
        <v>1135</v>
      </c>
      <c r="C395" s="7" t="s">
        <v>1136</v>
      </c>
      <c r="D395" s="7" t="s">
        <v>1129</v>
      </c>
      <c r="E395" s="7" t="s">
        <v>1124</v>
      </c>
      <c r="F395" s="7"/>
      <c r="G395" s="10" t="n">
        <v>0</v>
      </c>
      <c r="H395" s="11" t="n">
        <v>-0.43</v>
      </c>
      <c r="I395" s="11" t="n">
        <v>0.31</v>
      </c>
      <c r="J395" s="11" t="n">
        <v>0.31</v>
      </c>
      <c r="K395" s="11" t="n">
        <v>3.66</v>
      </c>
      <c r="L395" s="11" t="n">
        <v>5.82</v>
      </c>
      <c r="M395" s="11" t="n">
        <v>15.67</v>
      </c>
      <c r="N395" s="12" t="n">
        <v>12.75374</v>
      </c>
    </row>
    <row r="396" customFormat="false" ht="15" hidden="false" customHeight="false" outlineLevel="0" collapsed="false">
      <c r="A396" s="7" t="s">
        <v>1128</v>
      </c>
      <c r="B396" s="7" t="s">
        <v>1149</v>
      </c>
      <c r="C396" s="7" t="s">
        <v>1136</v>
      </c>
      <c r="D396" s="7" t="s">
        <v>1129</v>
      </c>
      <c r="E396" s="7" t="s">
        <v>1124</v>
      </c>
      <c r="F396" s="7"/>
      <c r="G396" s="10" t="n">
        <v>0</v>
      </c>
      <c r="H396" s="11" t="n">
        <v>-0.43</v>
      </c>
      <c r="I396" s="11" t="n">
        <v>0.34</v>
      </c>
      <c r="J396" s="11" t="n">
        <v>0.34</v>
      </c>
      <c r="K396" s="11" t="n">
        <v>0</v>
      </c>
      <c r="L396" s="11" t="n">
        <v>0</v>
      </c>
      <c r="M396" s="11" t="n">
        <v>0</v>
      </c>
      <c r="N396" s="12" t="n">
        <v>9.61907</v>
      </c>
    </row>
    <row r="397" customFormat="false" ht="15" hidden="false" customHeight="false" outlineLevel="0" collapsed="false">
      <c r="A397" s="7" t="s">
        <v>1130</v>
      </c>
      <c r="B397" s="7" t="s">
        <v>1135</v>
      </c>
      <c r="C397" s="7" t="s">
        <v>1136</v>
      </c>
      <c r="D397" s="7" t="s">
        <v>1129</v>
      </c>
      <c r="E397" s="7" t="s">
        <v>1124</v>
      </c>
      <c r="F397" s="7"/>
      <c r="G397" s="10" t="n">
        <v>0</v>
      </c>
      <c r="H397" s="11" t="n">
        <v>-0.75</v>
      </c>
      <c r="I397" s="11" t="n">
        <v>0.34</v>
      </c>
      <c r="J397" s="11" t="n">
        <v>0.34</v>
      </c>
      <c r="K397" s="11" t="n">
        <v>9.86</v>
      </c>
      <c r="L397" s="11" t="n">
        <v>13.18</v>
      </c>
      <c r="M397" s="11" t="n">
        <v>24.87</v>
      </c>
      <c r="N397" s="12" t="n">
        <v>21.83443</v>
      </c>
    </row>
    <row r="398" customFormat="false" ht="15" hidden="false" customHeight="false" outlineLevel="0" collapsed="false">
      <c r="A398" s="7" t="s">
        <v>1130</v>
      </c>
      <c r="B398" s="7" t="s">
        <v>1149</v>
      </c>
      <c r="C398" s="7" t="s">
        <v>1136</v>
      </c>
      <c r="D398" s="7" t="s">
        <v>1129</v>
      </c>
      <c r="E398" s="7" t="s">
        <v>1124</v>
      </c>
      <c r="F398" s="7"/>
      <c r="G398" s="10" t="n">
        <v>0</v>
      </c>
      <c r="H398" s="11" t="n">
        <v>-0.75</v>
      </c>
      <c r="I398" s="11" t="n">
        <v>0.37</v>
      </c>
      <c r="J398" s="11" t="n">
        <v>0.37</v>
      </c>
      <c r="K398" s="11" t="n">
        <v>11.15</v>
      </c>
      <c r="L398" s="11" t="n">
        <v>14.91</v>
      </c>
      <c r="M398" s="11" t="n">
        <v>28.68</v>
      </c>
      <c r="N398" s="12" t="n">
        <v>21.312114</v>
      </c>
    </row>
    <row r="399" customFormat="false" ht="15" hidden="false" customHeight="false" outlineLevel="0" collapsed="false">
      <c r="A399" s="7" t="s">
        <v>1131</v>
      </c>
      <c r="B399" s="7" t="s">
        <v>1135</v>
      </c>
      <c r="C399" s="7" t="s">
        <v>1136</v>
      </c>
      <c r="D399" s="7" t="s">
        <v>1129</v>
      </c>
      <c r="E399" s="7" t="s">
        <v>1124</v>
      </c>
      <c r="F399" s="7"/>
      <c r="G399" s="10" t="n">
        <v>0</v>
      </c>
      <c r="H399" s="11" t="n">
        <v>-0.87</v>
      </c>
      <c r="I399" s="11" t="n">
        <v>0.34</v>
      </c>
      <c r="J399" s="11" t="n">
        <v>0.34</v>
      </c>
      <c r="K399" s="11" t="n">
        <v>11.43</v>
      </c>
      <c r="L399" s="11" t="n">
        <v>15.26</v>
      </c>
      <c r="M399" s="11" t="n">
        <v>29.09</v>
      </c>
      <c r="N399" s="12" t="n">
        <v>13.678965</v>
      </c>
    </row>
    <row r="400" customFormat="false" ht="15" hidden="false" customHeight="false" outlineLevel="0" collapsed="false">
      <c r="A400" s="7" t="s">
        <v>1131</v>
      </c>
      <c r="B400" s="7" t="s">
        <v>1149</v>
      </c>
      <c r="C400" s="7" t="s">
        <v>1136</v>
      </c>
      <c r="D400" s="7" t="s">
        <v>1129</v>
      </c>
      <c r="E400" s="7" t="s">
        <v>1124</v>
      </c>
      <c r="F400" s="7"/>
      <c r="G400" s="10" t="n">
        <v>0</v>
      </c>
      <c r="H400" s="11" t="n">
        <v>0</v>
      </c>
      <c r="I400" s="11" t="n">
        <v>0</v>
      </c>
      <c r="J400" s="11" t="n">
        <v>0</v>
      </c>
      <c r="K400" s="11" t="n">
        <v>0</v>
      </c>
      <c r="L400" s="11" t="n">
        <v>0</v>
      </c>
      <c r="M400" s="11" t="n">
        <v>0</v>
      </c>
      <c r="N400" s="12" t="n">
        <v>11.956355</v>
      </c>
    </row>
    <row r="401" customFormat="false" ht="15" hidden="false" customHeight="false" outlineLevel="0" collapsed="false">
      <c r="A401" s="7" t="s">
        <v>1132</v>
      </c>
      <c r="B401" s="7" t="s">
        <v>1135</v>
      </c>
      <c r="C401" s="7" t="s">
        <v>1136</v>
      </c>
      <c r="D401" s="7" t="s">
        <v>1129</v>
      </c>
      <c r="E401" s="7" t="s">
        <v>1124</v>
      </c>
      <c r="F401" s="7"/>
      <c r="G401" s="10" t="n">
        <v>0</v>
      </c>
      <c r="H401" s="11" t="n">
        <v>-0.45</v>
      </c>
      <c r="I401" s="11" t="n">
        <v>-0.47</v>
      </c>
      <c r="J401" s="11" t="n">
        <v>-0.47</v>
      </c>
      <c r="K401" s="11" t="n">
        <v>-1.78</v>
      </c>
      <c r="L401" s="11" t="n">
        <v>-3.18</v>
      </c>
      <c r="M401" s="11" t="n">
        <v>-3.67</v>
      </c>
      <c r="N401" s="12" t="n">
        <v>9.855983</v>
      </c>
    </row>
    <row r="402" customFormat="false" ht="15" hidden="false" customHeight="false" outlineLevel="0" collapsed="false">
      <c r="A402" s="7" t="s">
        <v>1132</v>
      </c>
      <c r="B402" s="7" t="s">
        <v>1149</v>
      </c>
      <c r="C402" s="7" t="s">
        <v>1136</v>
      </c>
      <c r="D402" s="7" t="s">
        <v>1129</v>
      </c>
      <c r="E402" s="7" t="s">
        <v>1124</v>
      </c>
      <c r="F402" s="7"/>
      <c r="G402" s="10" t="n">
        <v>0</v>
      </c>
      <c r="H402" s="11" t="n">
        <v>-0.44</v>
      </c>
      <c r="I402" s="11" t="n">
        <v>-0.45</v>
      </c>
      <c r="J402" s="11" t="n">
        <v>-0.45</v>
      </c>
      <c r="K402" s="11" t="n">
        <v>0</v>
      </c>
      <c r="L402" s="11" t="n">
        <v>0</v>
      </c>
      <c r="M402" s="11" t="n">
        <v>-0.49</v>
      </c>
      <c r="N402" s="12" t="n">
        <v>11.096375</v>
      </c>
    </row>
    <row r="403" customFormat="false" ht="15" hidden="false" customHeight="false" outlineLevel="0" collapsed="false">
      <c r="A403" s="7" t="s">
        <v>1133</v>
      </c>
      <c r="B403" s="7" t="s">
        <v>1135</v>
      </c>
      <c r="C403" s="7" t="s">
        <v>1136</v>
      </c>
      <c r="D403" s="7" t="s">
        <v>1129</v>
      </c>
      <c r="E403" s="7" t="s">
        <v>1124</v>
      </c>
      <c r="F403" s="7"/>
      <c r="G403" s="10" t="n">
        <v>0</v>
      </c>
      <c r="H403" s="11" t="n">
        <v>-0.49</v>
      </c>
      <c r="I403" s="11" t="n">
        <v>-0.2</v>
      </c>
      <c r="J403" s="11" t="n">
        <v>-0.2</v>
      </c>
      <c r="K403" s="11" t="n">
        <v>1.27</v>
      </c>
      <c r="L403" s="11" t="n">
        <v>0.06</v>
      </c>
      <c r="M403" s="11" t="n">
        <v>2.05</v>
      </c>
      <c r="N403" s="12" t="n">
        <v>11.03306</v>
      </c>
    </row>
    <row r="404" customFormat="false" ht="15" hidden="false" customHeight="false" outlineLevel="0" collapsed="false">
      <c r="A404" s="7" t="s">
        <v>1133</v>
      </c>
      <c r="B404" s="7" t="s">
        <v>1149</v>
      </c>
      <c r="C404" s="7" t="s">
        <v>1136</v>
      </c>
      <c r="D404" s="7" t="s">
        <v>1129</v>
      </c>
      <c r="E404" s="7" t="s">
        <v>1124</v>
      </c>
      <c r="F404" s="7"/>
      <c r="G404" s="10" t="n">
        <v>0</v>
      </c>
      <c r="H404" s="11" t="n">
        <v>0</v>
      </c>
      <c r="I404" s="11" t="n">
        <v>0</v>
      </c>
      <c r="J404" s="11" t="n">
        <v>0</v>
      </c>
      <c r="K404" s="11" t="n">
        <v>0</v>
      </c>
      <c r="L404" s="11" t="n">
        <v>0</v>
      </c>
      <c r="M404" s="11" t="n">
        <v>0</v>
      </c>
      <c r="N404" s="12" t="n">
        <v>10</v>
      </c>
    </row>
    <row r="405" customFormat="false" ht="15" hidden="false" customHeight="false" outlineLevel="0" collapsed="false">
      <c r="A405" s="7" t="s">
        <v>1132</v>
      </c>
      <c r="B405" s="7" t="s">
        <v>1135</v>
      </c>
      <c r="C405" s="7" t="s">
        <v>1136</v>
      </c>
      <c r="D405" s="7" t="s">
        <v>1129</v>
      </c>
      <c r="E405" s="7" t="s">
        <v>1129</v>
      </c>
      <c r="F405" s="7"/>
      <c r="G405" s="10" t="n">
        <v>0</v>
      </c>
      <c r="H405" s="11" t="n">
        <v>-0.51</v>
      </c>
      <c r="I405" s="11" t="n">
        <v>0.06</v>
      </c>
      <c r="J405" s="11" t="n">
        <v>0.06</v>
      </c>
      <c r="K405" s="11" t="n">
        <v>-1.65</v>
      </c>
      <c r="L405" s="11" t="n">
        <v>-0.97</v>
      </c>
      <c r="M405" s="11" t="n">
        <v>3.41</v>
      </c>
      <c r="N405" s="12" t="n">
        <v>0.548392</v>
      </c>
    </row>
    <row r="406" customFormat="false" ht="15" hidden="false" customHeight="false" outlineLevel="0" collapsed="false">
      <c r="A406" s="7" t="s">
        <v>1132</v>
      </c>
      <c r="B406" s="7" t="s">
        <v>1149</v>
      </c>
      <c r="C406" s="7" t="s">
        <v>1136</v>
      </c>
      <c r="D406" s="7" t="s">
        <v>1129</v>
      </c>
      <c r="E406" s="7" t="s">
        <v>1129</v>
      </c>
      <c r="F406" s="7"/>
      <c r="G406" s="10" t="n">
        <v>0</v>
      </c>
      <c r="H406" s="11" t="n">
        <v>-0.51</v>
      </c>
      <c r="I406" s="11" t="n">
        <v>0.08</v>
      </c>
      <c r="J406" s="11" t="n">
        <v>0.08</v>
      </c>
      <c r="K406" s="11" t="n">
        <v>0</v>
      </c>
      <c r="L406" s="11" t="n">
        <v>0</v>
      </c>
      <c r="M406" s="11" t="n">
        <v>6.83</v>
      </c>
      <c r="N406" s="12" t="n">
        <v>0.617409</v>
      </c>
    </row>
    <row r="407" customFormat="false" ht="15" hidden="false" customHeight="false" outlineLevel="0" collapsed="false">
      <c r="A407" s="7" t="s">
        <v>1133</v>
      </c>
      <c r="B407" s="7" t="s">
        <v>1135</v>
      </c>
      <c r="C407" s="7" t="s">
        <v>1136</v>
      </c>
      <c r="D407" s="7" t="s">
        <v>1129</v>
      </c>
      <c r="E407" s="7" t="s">
        <v>1129</v>
      </c>
      <c r="F407" s="7"/>
      <c r="G407" s="10" t="n">
        <v>0</v>
      </c>
      <c r="H407" s="11" t="n">
        <v>-0.55</v>
      </c>
      <c r="I407" s="11" t="n">
        <v>0.33</v>
      </c>
      <c r="J407" s="11" t="n">
        <v>0.33</v>
      </c>
      <c r="K407" s="11" t="n">
        <v>1.4</v>
      </c>
      <c r="L407" s="11" t="n">
        <v>2.35</v>
      </c>
      <c r="M407" s="11" t="n">
        <v>9.54</v>
      </c>
      <c r="N407" s="12" t="n">
        <v>0.613886</v>
      </c>
    </row>
    <row r="408" customFormat="false" ht="15" hidden="false" customHeight="false" outlineLevel="0" collapsed="false">
      <c r="A408" s="7" t="s">
        <v>1133</v>
      </c>
      <c r="B408" s="7" t="s">
        <v>1149</v>
      </c>
      <c r="C408" s="7" t="s">
        <v>1136</v>
      </c>
      <c r="D408" s="7" t="s">
        <v>1129</v>
      </c>
      <c r="E408" s="7" t="s">
        <v>1129</v>
      </c>
      <c r="F408" s="7"/>
      <c r="G408" s="10" t="n">
        <v>0</v>
      </c>
      <c r="H408" s="11" t="n">
        <v>0</v>
      </c>
      <c r="I408" s="11" t="n">
        <v>0</v>
      </c>
      <c r="J408" s="11" t="n">
        <v>0</v>
      </c>
      <c r="K408" s="11" t="n">
        <v>0</v>
      </c>
      <c r="L408" s="11" t="n">
        <v>0</v>
      </c>
      <c r="M408" s="11" t="n">
        <v>0</v>
      </c>
      <c r="N408" s="12" t="n">
        <v>0.556406</v>
      </c>
    </row>
    <row r="409" customFormat="false" ht="15" hidden="false" customHeight="false" outlineLevel="0" collapsed="false">
      <c r="A409" s="7" t="s">
        <v>1159</v>
      </c>
      <c r="B409" s="7" t="s">
        <v>1149</v>
      </c>
      <c r="C409" s="7" t="s">
        <v>1136</v>
      </c>
      <c r="D409" s="7" t="s">
        <v>1129</v>
      </c>
      <c r="E409" s="7" t="s">
        <v>1129</v>
      </c>
      <c r="F409" s="7"/>
      <c r="G409" s="10" t="n">
        <v>1000000</v>
      </c>
      <c r="H409" s="11" t="n">
        <v>0</v>
      </c>
      <c r="I409" s="11" t="n">
        <v>0</v>
      </c>
      <c r="J409" s="11" t="n">
        <v>0</v>
      </c>
      <c r="K409" s="11" t="n">
        <v>0</v>
      </c>
      <c r="L409" s="11" t="n">
        <v>0</v>
      </c>
      <c r="M409" s="11" t="n">
        <v>0</v>
      </c>
      <c r="N409" s="12" t="n">
        <v>10</v>
      </c>
    </row>
    <row r="410" customFormat="false" ht="15" hidden="false" customHeight="false" outlineLevel="0" collapsed="false">
      <c r="A410" s="7" t="s">
        <v>1159</v>
      </c>
      <c r="B410" s="7" t="s">
        <v>1150</v>
      </c>
      <c r="C410" s="7" t="s">
        <v>1136</v>
      </c>
      <c r="D410" s="7" t="s">
        <v>1129</v>
      </c>
      <c r="E410" s="7" t="s">
        <v>1129</v>
      </c>
      <c r="F410" s="7"/>
      <c r="G410" s="10" t="n">
        <v>50000000</v>
      </c>
      <c r="H410" s="11" t="n">
        <v>0</v>
      </c>
      <c r="I410" s="11" t="n">
        <v>0</v>
      </c>
      <c r="J410" s="11" t="n">
        <v>0</v>
      </c>
      <c r="K410" s="11" t="n">
        <v>0</v>
      </c>
      <c r="L410" s="11" t="n">
        <v>0</v>
      </c>
      <c r="M410" s="11" t="n">
        <v>0</v>
      </c>
      <c r="N410" s="12" t="n">
        <v>10</v>
      </c>
    </row>
    <row r="411" customFormat="false" ht="15" hidden="false" customHeight="false" outlineLevel="0" collapsed="false">
      <c r="A411" s="7" t="s">
        <v>1159</v>
      </c>
      <c r="B411" s="7" t="s">
        <v>1151</v>
      </c>
      <c r="C411" s="7" t="s">
        <v>1136</v>
      </c>
      <c r="D411" s="7" t="s">
        <v>1129</v>
      </c>
      <c r="E411" s="7" t="s">
        <v>1129</v>
      </c>
      <c r="F411" s="7"/>
      <c r="G411" s="10" t="n">
        <v>150000000</v>
      </c>
      <c r="H411" s="11" t="n">
        <v>0</v>
      </c>
      <c r="I411" s="11" t="n">
        <v>0</v>
      </c>
      <c r="J411" s="11" t="n">
        <v>0</v>
      </c>
      <c r="K411" s="11" t="n">
        <v>0</v>
      </c>
      <c r="L411" s="11" t="n">
        <v>0</v>
      </c>
      <c r="M411" s="11" t="n">
        <v>0</v>
      </c>
      <c r="N411" s="12" t="n">
        <v>10</v>
      </c>
    </row>
    <row r="412" customFormat="false" ht="15" hidden="false" customHeight="false" outlineLevel="0" collapsed="false">
      <c r="A412" s="7" t="s">
        <v>1159</v>
      </c>
      <c r="B412" s="7" t="s">
        <v>1152</v>
      </c>
      <c r="C412" s="7" t="s">
        <v>1136</v>
      </c>
      <c r="D412" s="7" t="s">
        <v>1129</v>
      </c>
      <c r="E412" s="7" t="s">
        <v>1129</v>
      </c>
      <c r="F412" s="7"/>
      <c r="G412" s="10" t="n">
        <v>200000000</v>
      </c>
      <c r="H412" s="11" t="n">
        <v>0</v>
      </c>
      <c r="I412" s="11" t="n">
        <v>0</v>
      </c>
      <c r="J412" s="11" t="n">
        <v>0</v>
      </c>
      <c r="K412" s="11" t="n">
        <v>0</v>
      </c>
      <c r="L412" s="11" t="n">
        <v>0</v>
      </c>
      <c r="M412" s="11" t="n">
        <v>0</v>
      </c>
      <c r="N412" s="12" t="n">
        <v>10</v>
      </c>
    </row>
    <row r="413" customFormat="false" ht="15" hidden="false" customHeight="false" outlineLevel="0" collapsed="false">
      <c r="A413" s="7" t="s">
        <v>1160</v>
      </c>
      <c r="B413" s="7" t="s">
        <v>1149</v>
      </c>
      <c r="C413" s="7" t="s">
        <v>1136</v>
      </c>
      <c r="D413" s="7" t="s">
        <v>1129</v>
      </c>
      <c r="E413" s="7" t="s">
        <v>1129</v>
      </c>
      <c r="F413" s="7"/>
      <c r="G413" s="10" t="n">
        <v>1000000</v>
      </c>
      <c r="H413" s="11" t="n">
        <v>0</v>
      </c>
      <c r="I413" s="11" t="n">
        <v>0</v>
      </c>
      <c r="J413" s="11" t="n">
        <v>0</v>
      </c>
      <c r="K413" s="11" t="n">
        <v>0</v>
      </c>
      <c r="L413" s="11" t="n">
        <v>0</v>
      </c>
      <c r="M413" s="11" t="n">
        <v>0</v>
      </c>
      <c r="N413" s="12" t="n">
        <v>10</v>
      </c>
    </row>
    <row r="414" customFormat="false" ht="15" hidden="false" customHeight="false" outlineLevel="0" collapsed="false">
      <c r="A414" s="7" t="s">
        <v>1160</v>
      </c>
      <c r="B414" s="7" t="s">
        <v>1150</v>
      </c>
      <c r="C414" s="7" t="s">
        <v>1136</v>
      </c>
      <c r="D414" s="7" t="s">
        <v>1129</v>
      </c>
      <c r="E414" s="7" t="s">
        <v>1129</v>
      </c>
      <c r="F414" s="7"/>
      <c r="G414" s="10" t="n">
        <v>50000000</v>
      </c>
      <c r="H414" s="11" t="n">
        <v>0</v>
      </c>
      <c r="I414" s="11" t="n">
        <v>0</v>
      </c>
      <c r="J414" s="11" t="n">
        <v>0</v>
      </c>
      <c r="K414" s="11" t="n">
        <v>0</v>
      </c>
      <c r="L414" s="11" t="n">
        <v>0</v>
      </c>
      <c r="M414" s="11" t="n">
        <v>0</v>
      </c>
      <c r="N414" s="12" t="n">
        <v>10</v>
      </c>
    </row>
    <row r="415" customFormat="false" ht="15" hidden="false" customHeight="false" outlineLevel="0" collapsed="false">
      <c r="A415" s="7" t="s">
        <v>1160</v>
      </c>
      <c r="B415" s="7" t="s">
        <v>1151</v>
      </c>
      <c r="C415" s="7" t="s">
        <v>1136</v>
      </c>
      <c r="D415" s="7" t="s">
        <v>1129</v>
      </c>
      <c r="E415" s="7" t="s">
        <v>1129</v>
      </c>
      <c r="F415" s="7"/>
      <c r="G415" s="10" t="n">
        <v>150000000</v>
      </c>
      <c r="H415" s="11" t="n">
        <v>0</v>
      </c>
      <c r="I415" s="11" t="n">
        <v>0</v>
      </c>
      <c r="J415" s="11" t="n">
        <v>0</v>
      </c>
      <c r="K415" s="11" t="n">
        <v>0</v>
      </c>
      <c r="L415" s="11" t="n">
        <v>0</v>
      </c>
      <c r="M415" s="11" t="n">
        <v>0</v>
      </c>
      <c r="N415" s="12" t="n">
        <v>10</v>
      </c>
    </row>
    <row r="416" customFormat="false" ht="15" hidden="false" customHeight="false" outlineLevel="0" collapsed="false">
      <c r="A416" s="7" t="s">
        <v>1160</v>
      </c>
      <c r="B416" s="7" t="s">
        <v>1152</v>
      </c>
      <c r="C416" s="7" t="s">
        <v>1136</v>
      </c>
      <c r="D416" s="7" t="s">
        <v>1129</v>
      </c>
      <c r="E416" s="7" t="s">
        <v>1129</v>
      </c>
      <c r="F416" s="7"/>
      <c r="G416" s="10" t="n">
        <v>200000000</v>
      </c>
      <c r="H416" s="11" t="n">
        <v>0</v>
      </c>
      <c r="I416" s="11" t="n">
        <v>0</v>
      </c>
      <c r="J416" s="11" t="n">
        <v>0</v>
      </c>
      <c r="K416" s="11" t="n">
        <v>0</v>
      </c>
      <c r="L416" s="11" t="n">
        <v>0</v>
      </c>
      <c r="M416" s="11" t="n">
        <v>0</v>
      </c>
      <c r="N416" s="12" t="n">
        <v>10</v>
      </c>
    </row>
    <row r="417" customFormat="false" ht="15" hidden="false" customHeight="false" outlineLevel="0" collapsed="false">
      <c r="A417" s="7" t="s">
        <v>1161</v>
      </c>
      <c r="B417" s="7" t="s">
        <v>1149</v>
      </c>
      <c r="C417" s="7" t="s">
        <v>1136</v>
      </c>
      <c r="D417" s="7" t="s">
        <v>1129</v>
      </c>
      <c r="E417" s="7" t="s">
        <v>1129</v>
      </c>
      <c r="F417" s="7"/>
      <c r="G417" s="10" t="n">
        <v>1000000</v>
      </c>
      <c r="H417" s="11" t="n">
        <v>0</v>
      </c>
      <c r="I417" s="11" t="n">
        <v>0</v>
      </c>
      <c r="J417" s="11" t="n">
        <v>0</v>
      </c>
      <c r="K417" s="11" t="n">
        <v>0</v>
      </c>
      <c r="L417" s="11" t="n">
        <v>0</v>
      </c>
      <c r="M417" s="11" t="n">
        <v>0</v>
      </c>
      <c r="N417" s="12" t="n">
        <v>10</v>
      </c>
    </row>
    <row r="418" customFormat="false" ht="15" hidden="false" customHeight="false" outlineLevel="0" collapsed="false">
      <c r="A418" s="7" t="s">
        <v>1161</v>
      </c>
      <c r="B418" s="7" t="s">
        <v>1150</v>
      </c>
      <c r="C418" s="7" t="s">
        <v>1136</v>
      </c>
      <c r="D418" s="7" t="s">
        <v>1129</v>
      </c>
      <c r="E418" s="7" t="s">
        <v>1129</v>
      </c>
      <c r="F418" s="7"/>
      <c r="G418" s="10" t="n">
        <v>50000000</v>
      </c>
      <c r="H418" s="11" t="n">
        <v>0</v>
      </c>
      <c r="I418" s="11" t="n">
        <v>0</v>
      </c>
      <c r="J418" s="11" t="n">
        <v>0</v>
      </c>
      <c r="K418" s="11" t="n">
        <v>0</v>
      </c>
      <c r="L418" s="11" t="n">
        <v>0</v>
      </c>
      <c r="M418" s="11" t="n">
        <v>0</v>
      </c>
      <c r="N418" s="12" t="n">
        <v>10</v>
      </c>
    </row>
    <row r="419" customFormat="false" ht="15" hidden="false" customHeight="false" outlineLevel="0" collapsed="false">
      <c r="A419" s="7" t="s">
        <v>1161</v>
      </c>
      <c r="B419" s="7" t="s">
        <v>1151</v>
      </c>
      <c r="C419" s="7" t="s">
        <v>1136</v>
      </c>
      <c r="D419" s="7" t="s">
        <v>1129</v>
      </c>
      <c r="E419" s="7" t="s">
        <v>1129</v>
      </c>
      <c r="F419" s="7"/>
      <c r="G419" s="10" t="n">
        <v>150000000</v>
      </c>
      <c r="H419" s="11" t="n">
        <v>0</v>
      </c>
      <c r="I419" s="11" t="n">
        <v>0</v>
      </c>
      <c r="J419" s="11" t="n">
        <v>0</v>
      </c>
      <c r="K419" s="11" t="n">
        <v>0</v>
      </c>
      <c r="L419" s="11" t="n">
        <v>0</v>
      </c>
      <c r="M419" s="11" t="n">
        <v>0</v>
      </c>
      <c r="N419" s="12" t="n">
        <v>10</v>
      </c>
    </row>
    <row r="420" customFormat="false" ht="15" hidden="false" customHeight="false" outlineLevel="0" collapsed="false">
      <c r="A420" s="7" t="s">
        <v>1161</v>
      </c>
      <c r="B420" s="7" t="s">
        <v>1152</v>
      </c>
      <c r="C420" s="7" t="s">
        <v>1136</v>
      </c>
      <c r="D420" s="7" t="s">
        <v>1129</v>
      </c>
      <c r="E420" s="7" t="s">
        <v>1129</v>
      </c>
      <c r="F420" s="7"/>
      <c r="G420" s="10" t="n">
        <v>200000000</v>
      </c>
      <c r="H420" s="11" t="n">
        <v>0</v>
      </c>
      <c r="I420" s="11" t="n">
        <v>0</v>
      </c>
      <c r="J420" s="11" t="n">
        <v>0</v>
      </c>
      <c r="K420" s="11" t="n">
        <v>0</v>
      </c>
      <c r="L420" s="11" t="n">
        <v>0</v>
      </c>
      <c r="M420" s="11" t="n">
        <v>0</v>
      </c>
      <c r="N420" s="12" t="n">
        <v>10</v>
      </c>
    </row>
    <row r="421" customFormat="false" ht="15" hidden="false" customHeight="false" outlineLevel="0" collapsed="false">
      <c r="A421" s="7" t="s">
        <v>1162</v>
      </c>
      <c r="B421" s="7" t="s">
        <v>1149</v>
      </c>
      <c r="C421" s="7" t="s">
        <v>1136</v>
      </c>
      <c r="D421" s="7" t="s">
        <v>1129</v>
      </c>
      <c r="E421" s="7" t="s">
        <v>1129</v>
      </c>
      <c r="F421" s="7"/>
      <c r="G421" s="10" t="n">
        <v>1000000</v>
      </c>
      <c r="H421" s="11" t="n">
        <v>0</v>
      </c>
      <c r="I421" s="11" t="n">
        <v>0</v>
      </c>
      <c r="J421" s="11" t="n">
        <v>0</v>
      </c>
      <c r="K421" s="11" t="n">
        <v>0</v>
      </c>
      <c r="L421" s="11" t="n">
        <v>0</v>
      </c>
      <c r="M421" s="11" t="n">
        <v>0</v>
      </c>
      <c r="N421" s="12" t="n">
        <v>10</v>
      </c>
    </row>
    <row r="422" customFormat="false" ht="15" hidden="false" customHeight="false" outlineLevel="0" collapsed="false">
      <c r="A422" s="7" t="s">
        <v>1162</v>
      </c>
      <c r="B422" s="7" t="s">
        <v>1150</v>
      </c>
      <c r="C422" s="7" t="s">
        <v>1136</v>
      </c>
      <c r="D422" s="7" t="s">
        <v>1129</v>
      </c>
      <c r="E422" s="7" t="s">
        <v>1129</v>
      </c>
      <c r="F422" s="7"/>
      <c r="G422" s="10" t="n">
        <v>50000000</v>
      </c>
      <c r="H422" s="11" t="n">
        <v>0</v>
      </c>
      <c r="I422" s="11" t="n">
        <v>0</v>
      </c>
      <c r="J422" s="11" t="n">
        <v>0</v>
      </c>
      <c r="K422" s="11" t="n">
        <v>0</v>
      </c>
      <c r="L422" s="11" t="n">
        <v>0</v>
      </c>
      <c r="M422" s="11" t="n">
        <v>0</v>
      </c>
      <c r="N422" s="12" t="n">
        <v>10</v>
      </c>
    </row>
    <row r="423" customFormat="false" ht="15" hidden="false" customHeight="false" outlineLevel="0" collapsed="false">
      <c r="A423" s="7" t="s">
        <v>1162</v>
      </c>
      <c r="B423" s="7" t="s">
        <v>1151</v>
      </c>
      <c r="C423" s="7" t="s">
        <v>1136</v>
      </c>
      <c r="D423" s="7" t="s">
        <v>1129</v>
      </c>
      <c r="E423" s="7" t="s">
        <v>1129</v>
      </c>
      <c r="F423" s="7"/>
      <c r="G423" s="10" t="n">
        <v>150000000</v>
      </c>
      <c r="H423" s="11" t="n">
        <v>0</v>
      </c>
      <c r="I423" s="11" t="n">
        <v>0</v>
      </c>
      <c r="J423" s="11" t="n">
        <v>0</v>
      </c>
      <c r="K423" s="11" t="n">
        <v>0</v>
      </c>
      <c r="L423" s="11" t="n">
        <v>0</v>
      </c>
      <c r="M423" s="11" t="n">
        <v>0</v>
      </c>
      <c r="N423" s="12" t="n">
        <v>10</v>
      </c>
    </row>
    <row r="424" customFormat="false" ht="15" hidden="false" customHeight="false" outlineLevel="0" collapsed="false">
      <c r="A424" s="7" t="s">
        <v>1162</v>
      </c>
      <c r="B424" s="7" t="s">
        <v>1152</v>
      </c>
      <c r="C424" s="7" t="s">
        <v>1136</v>
      </c>
      <c r="D424" s="7" t="s">
        <v>1129</v>
      </c>
      <c r="E424" s="7" t="s">
        <v>1129</v>
      </c>
      <c r="F424" s="7"/>
      <c r="G424" s="10" t="n">
        <v>200000000</v>
      </c>
      <c r="H424" s="11" t="n">
        <v>0</v>
      </c>
      <c r="I424" s="11" t="n">
        <v>0</v>
      </c>
      <c r="J424" s="11" t="n">
        <v>0</v>
      </c>
      <c r="K424" s="11" t="n">
        <v>0</v>
      </c>
      <c r="L424" s="11" t="n">
        <v>0</v>
      </c>
      <c r="M424" s="11" t="n">
        <v>0</v>
      </c>
      <c r="N424" s="12" t="n">
        <v>10</v>
      </c>
    </row>
    <row r="425" customFormat="false" ht="15" hidden="false" customHeight="false" outlineLevel="0" collapsed="false">
      <c r="A425" s="7" t="s">
        <v>1163</v>
      </c>
      <c r="B425" s="7" t="s">
        <v>1149</v>
      </c>
      <c r="C425" s="7" t="s">
        <v>1136</v>
      </c>
      <c r="D425" s="7" t="s">
        <v>1129</v>
      </c>
      <c r="E425" s="7" t="s">
        <v>1129</v>
      </c>
      <c r="F425" s="7"/>
      <c r="G425" s="10" t="n">
        <v>1000000</v>
      </c>
      <c r="H425" s="11" t="n">
        <v>0</v>
      </c>
      <c r="I425" s="11" t="n">
        <v>0</v>
      </c>
      <c r="J425" s="11" t="n">
        <v>0</v>
      </c>
      <c r="K425" s="11" t="n">
        <v>0</v>
      </c>
      <c r="L425" s="11" t="n">
        <v>0</v>
      </c>
      <c r="M425" s="11" t="n">
        <v>0</v>
      </c>
      <c r="N425" s="12" t="n">
        <v>10</v>
      </c>
    </row>
    <row r="426" customFormat="false" ht="15" hidden="false" customHeight="false" outlineLevel="0" collapsed="false">
      <c r="A426" s="7" t="s">
        <v>1163</v>
      </c>
      <c r="B426" s="7" t="s">
        <v>1150</v>
      </c>
      <c r="C426" s="7" t="s">
        <v>1136</v>
      </c>
      <c r="D426" s="7" t="s">
        <v>1129</v>
      </c>
      <c r="E426" s="7" t="s">
        <v>1129</v>
      </c>
      <c r="F426" s="7"/>
      <c r="G426" s="10" t="n">
        <v>50000000</v>
      </c>
      <c r="H426" s="11" t="n">
        <v>0</v>
      </c>
      <c r="I426" s="11" t="n">
        <v>0</v>
      </c>
      <c r="J426" s="11" t="n">
        <v>0</v>
      </c>
      <c r="K426" s="11" t="n">
        <v>0</v>
      </c>
      <c r="L426" s="11" t="n">
        <v>0</v>
      </c>
      <c r="M426" s="11" t="n">
        <v>0</v>
      </c>
      <c r="N426" s="12" t="n">
        <v>10</v>
      </c>
    </row>
    <row r="427" customFormat="false" ht="15" hidden="false" customHeight="false" outlineLevel="0" collapsed="false">
      <c r="A427" s="7" t="s">
        <v>1163</v>
      </c>
      <c r="B427" s="7" t="s">
        <v>1151</v>
      </c>
      <c r="C427" s="7" t="s">
        <v>1136</v>
      </c>
      <c r="D427" s="7" t="s">
        <v>1129</v>
      </c>
      <c r="E427" s="7" t="s">
        <v>1129</v>
      </c>
      <c r="F427" s="7"/>
      <c r="G427" s="10" t="n">
        <v>150000000</v>
      </c>
      <c r="H427" s="11" t="n">
        <v>0</v>
      </c>
      <c r="I427" s="11" t="n">
        <v>0</v>
      </c>
      <c r="J427" s="11" t="n">
        <v>0</v>
      </c>
      <c r="K427" s="11" t="n">
        <v>0</v>
      </c>
      <c r="L427" s="11" t="n">
        <v>0</v>
      </c>
      <c r="M427" s="11" t="n">
        <v>0</v>
      </c>
      <c r="N427" s="12" t="n">
        <v>10</v>
      </c>
    </row>
    <row r="428" customFormat="false" ht="15" hidden="false" customHeight="false" outlineLevel="0" collapsed="false">
      <c r="A428" s="7" t="s">
        <v>1163</v>
      </c>
      <c r="B428" s="7" t="s">
        <v>1152</v>
      </c>
      <c r="C428" s="7" t="s">
        <v>1136</v>
      </c>
      <c r="D428" s="7" t="s">
        <v>1129</v>
      </c>
      <c r="E428" s="7" t="s">
        <v>1129</v>
      </c>
      <c r="F428" s="7"/>
      <c r="G428" s="10" t="n">
        <v>200000000</v>
      </c>
      <c r="H428" s="11" t="n">
        <v>0</v>
      </c>
      <c r="I428" s="11" t="n">
        <v>0</v>
      </c>
      <c r="J428" s="11" t="n">
        <v>0</v>
      </c>
      <c r="K428" s="11" t="n">
        <v>0</v>
      </c>
      <c r="L428" s="11" t="n">
        <v>0</v>
      </c>
      <c r="M428" s="11" t="n">
        <v>0</v>
      </c>
      <c r="N428" s="12" t="n">
        <v>10</v>
      </c>
    </row>
    <row r="429" customFormat="false" ht="15" hidden="false" customHeight="false" outlineLevel="0" collapsed="false">
      <c r="A429" s="7" t="s">
        <v>1046</v>
      </c>
      <c r="B429" s="7" t="s">
        <v>1164</v>
      </c>
      <c r="C429" s="7" t="s">
        <v>1136</v>
      </c>
      <c r="D429" s="7" t="s">
        <v>1049</v>
      </c>
      <c r="E429" s="7" t="s">
        <v>56</v>
      </c>
      <c r="F429" s="7" t="s">
        <v>1050</v>
      </c>
      <c r="G429" s="10" t="n">
        <v>5000</v>
      </c>
      <c r="H429" s="11" t="n">
        <v>5.37</v>
      </c>
      <c r="I429" s="11" t="n">
        <v>5.39</v>
      </c>
      <c r="J429" s="11" t="n">
        <v>5.39</v>
      </c>
      <c r="K429" s="11" t="n">
        <v>0</v>
      </c>
      <c r="L429" s="11" t="n">
        <v>0</v>
      </c>
      <c r="M429" s="11" t="n">
        <v>0</v>
      </c>
      <c r="N429" s="12" t="n">
        <v>0.254629</v>
      </c>
    </row>
    <row r="430" customFormat="false" ht="15" hidden="false" customHeight="false" outlineLevel="0" collapsed="false">
      <c r="A430" s="7" t="s">
        <v>1054</v>
      </c>
      <c r="B430" s="7" t="s">
        <v>1164</v>
      </c>
      <c r="C430" s="7" t="s">
        <v>1136</v>
      </c>
      <c r="D430" s="7" t="s">
        <v>1049</v>
      </c>
      <c r="E430" s="7" t="s">
        <v>56</v>
      </c>
      <c r="F430" s="7" t="s">
        <v>1050</v>
      </c>
      <c r="G430" s="10" t="n">
        <v>0</v>
      </c>
      <c r="H430" s="11" t="n">
        <v>5.44</v>
      </c>
      <c r="I430" s="11" t="n">
        <v>5.44</v>
      </c>
      <c r="J430" s="11" t="n">
        <v>5.44</v>
      </c>
      <c r="K430" s="11" t="n">
        <v>5.62</v>
      </c>
      <c r="L430" s="11" t="n">
        <v>5.9</v>
      </c>
      <c r="M430" s="11" t="n">
        <v>7.27</v>
      </c>
      <c r="N430" s="12" t="n">
        <v>24.667885</v>
      </c>
    </row>
    <row r="431" customFormat="false" ht="15" hidden="false" customHeight="false" outlineLevel="0" collapsed="false">
      <c r="A431" s="7" t="s">
        <v>1059</v>
      </c>
      <c r="B431" s="7" t="s">
        <v>1164</v>
      </c>
      <c r="C431" s="7" t="s">
        <v>1136</v>
      </c>
      <c r="D431" s="7" t="s">
        <v>1049</v>
      </c>
      <c r="E431" s="7" t="s">
        <v>56</v>
      </c>
      <c r="F431" s="7" t="s">
        <v>1050</v>
      </c>
      <c r="G431" s="10" t="n">
        <v>0</v>
      </c>
      <c r="H431" s="11" t="n">
        <v>5.15</v>
      </c>
      <c r="I431" s="11" t="n">
        <v>5.26</v>
      </c>
      <c r="J431" s="11" t="n">
        <v>5.26</v>
      </c>
      <c r="K431" s="11" t="n">
        <v>5.45</v>
      </c>
      <c r="L431" s="11" t="n">
        <v>5.74</v>
      </c>
      <c r="M431" s="11" t="n">
        <v>7.14</v>
      </c>
      <c r="N431" s="12" t="n">
        <v>18.076819</v>
      </c>
    </row>
    <row r="432" customFormat="false" ht="15" hidden="false" customHeight="false" outlineLevel="0" collapsed="false">
      <c r="A432" s="7" t="s">
        <v>1065</v>
      </c>
      <c r="B432" s="7" t="s">
        <v>1164</v>
      </c>
      <c r="C432" s="7" t="s">
        <v>1136</v>
      </c>
      <c r="D432" s="7" t="s">
        <v>1049</v>
      </c>
      <c r="E432" s="7" t="s">
        <v>56</v>
      </c>
      <c r="F432" s="7" t="s">
        <v>1067</v>
      </c>
      <c r="G432" s="10" t="n">
        <v>0</v>
      </c>
      <c r="H432" s="11" t="n">
        <v>6</v>
      </c>
      <c r="I432" s="11" t="n">
        <v>6.26</v>
      </c>
      <c r="J432" s="11" t="n">
        <v>6.26</v>
      </c>
      <c r="K432" s="11" t="n">
        <v>5.67</v>
      </c>
      <c r="L432" s="11" t="n">
        <v>5.91</v>
      </c>
      <c r="M432" s="11" t="n">
        <v>7.21</v>
      </c>
      <c r="N432" s="12" t="n">
        <v>20.291681</v>
      </c>
    </row>
    <row r="433" customFormat="false" ht="15" hidden="false" customHeight="false" outlineLevel="0" collapsed="false">
      <c r="A433" s="7" t="s">
        <v>1072</v>
      </c>
      <c r="B433" s="7" t="s">
        <v>1164</v>
      </c>
      <c r="C433" s="7" t="s">
        <v>1136</v>
      </c>
      <c r="D433" s="7" t="s">
        <v>1049</v>
      </c>
      <c r="E433" s="7" t="s">
        <v>1073</v>
      </c>
      <c r="F433" s="7" t="s">
        <v>1053</v>
      </c>
      <c r="G433" s="10" t="n">
        <v>0</v>
      </c>
      <c r="H433" s="11" t="n">
        <v>5.85</v>
      </c>
      <c r="I433" s="11" t="n">
        <v>5.59</v>
      </c>
      <c r="J433" s="11" t="n">
        <v>5.59</v>
      </c>
      <c r="K433" s="11" t="n">
        <v>5.86</v>
      </c>
      <c r="L433" s="11" t="n">
        <v>6.07</v>
      </c>
      <c r="M433" s="11" t="n">
        <v>7.39</v>
      </c>
      <c r="N433" s="12" t="n">
        <v>14.34014</v>
      </c>
    </row>
    <row r="434" customFormat="false" ht="15" hidden="false" customHeight="false" outlineLevel="0" collapsed="false">
      <c r="A434" s="7" t="s">
        <v>1074</v>
      </c>
      <c r="B434" s="7" t="s">
        <v>1164</v>
      </c>
      <c r="C434" s="7" t="s">
        <v>1136</v>
      </c>
      <c r="D434" s="7" t="s">
        <v>1049</v>
      </c>
      <c r="E434" s="7" t="s">
        <v>1073</v>
      </c>
      <c r="F434" s="7" t="s">
        <v>1075</v>
      </c>
      <c r="G434" s="10" t="n">
        <v>0</v>
      </c>
      <c r="H434" s="11" t="n">
        <v>9.65</v>
      </c>
      <c r="I434" s="11" t="n">
        <v>30.73</v>
      </c>
      <c r="J434" s="11" t="n">
        <v>30.73</v>
      </c>
      <c r="K434" s="11" t="n">
        <v>8.1</v>
      </c>
      <c r="L434" s="11" t="n">
        <v>7.7</v>
      </c>
      <c r="M434" s="11" t="n">
        <v>9.87</v>
      </c>
      <c r="N434" s="12" t="n">
        <v>77.561769</v>
      </c>
    </row>
    <row r="435" customFormat="false" ht="15" hidden="false" customHeight="false" outlineLevel="0" collapsed="false">
      <c r="A435" s="7" t="s">
        <v>1076</v>
      </c>
      <c r="B435" s="7" t="s">
        <v>1164</v>
      </c>
      <c r="C435" s="7" t="s">
        <v>1136</v>
      </c>
      <c r="D435" s="7" t="s">
        <v>1049</v>
      </c>
      <c r="E435" s="7" t="s">
        <v>41</v>
      </c>
      <c r="F435" s="7" t="s">
        <v>1077</v>
      </c>
      <c r="G435" s="10" t="n">
        <v>0</v>
      </c>
      <c r="H435" s="11" t="n">
        <v>29.64</v>
      </c>
      <c r="I435" s="11" t="n">
        <v>51.88</v>
      </c>
      <c r="J435" s="11" t="n">
        <v>51.88</v>
      </c>
      <c r="K435" s="11" t="n">
        <v>7.95</v>
      </c>
      <c r="L435" s="11" t="n">
        <v>7.43</v>
      </c>
      <c r="M435" s="11" t="n">
        <v>10.52</v>
      </c>
      <c r="N435" s="12" t="n">
        <v>26.015895</v>
      </c>
    </row>
    <row r="436" customFormat="false" ht="15" hidden="false" customHeight="false" outlineLevel="0" collapsed="false">
      <c r="A436" s="7" t="s">
        <v>1078</v>
      </c>
      <c r="B436" s="7" t="s">
        <v>1164</v>
      </c>
      <c r="C436" s="7" t="s">
        <v>1136</v>
      </c>
      <c r="D436" s="7" t="s">
        <v>1049</v>
      </c>
      <c r="E436" s="7" t="s">
        <v>41</v>
      </c>
      <c r="F436" s="7" t="s">
        <v>1079</v>
      </c>
      <c r="G436" s="10" t="n">
        <v>0</v>
      </c>
      <c r="H436" s="11" t="n">
        <v>25.06</v>
      </c>
      <c r="I436" s="11" t="n">
        <v>49.88</v>
      </c>
      <c r="J436" s="11" t="n">
        <v>49.88</v>
      </c>
      <c r="K436" s="11" t="n">
        <v>7.35</v>
      </c>
      <c r="L436" s="11" t="n">
        <v>6.88</v>
      </c>
      <c r="M436" s="11" t="n">
        <v>10.04</v>
      </c>
      <c r="N436" s="12" t="n">
        <v>37.017216</v>
      </c>
    </row>
    <row r="437" customFormat="false" ht="15" hidden="false" customHeight="false" outlineLevel="0" collapsed="false">
      <c r="A437" s="7" t="s">
        <v>1080</v>
      </c>
      <c r="B437" s="7" t="s">
        <v>1164</v>
      </c>
      <c r="C437" s="7" t="s">
        <v>1136</v>
      </c>
      <c r="D437" s="7" t="s">
        <v>1049</v>
      </c>
      <c r="E437" s="7" t="s">
        <v>41</v>
      </c>
      <c r="F437" s="7" t="s">
        <v>1081</v>
      </c>
      <c r="G437" s="10" t="n">
        <v>0</v>
      </c>
      <c r="H437" s="11" t="n">
        <v>37.29</v>
      </c>
      <c r="I437" s="11" t="n">
        <v>48.26</v>
      </c>
      <c r="J437" s="11" t="n">
        <v>48.26</v>
      </c>
      <c r="K437" s="11" t="n">
        <v>5.21</v>
      </c>
      <c r="L437" s="11" t="n">
        <v>4.87</v>
      </c>
      <c r="M437" s="11" t="n">
        <v>8.21</v>
      </c>
      <c r="N437" s="12" t="n">
        <v>12.09245</v>
      </c>
    </row>
    <row r="438" customFormat="false" ht="15" hidden="false" customHeight="false" outlineLevel="0" collapsed="false">
      <c r="A438" s="7" t="s">
        <v>1082</v>
      </c>
      <c r="B438" s="7" t="s">
        <v>1164</v>
      </c>
      <c r="C438" s="7" t="s">
        <v>1136</v>
      </c>
      <c r="D438" s="7" t="s">
        <v>1049</v>
      </c>
      <c r="E438" s="7" t="s">
        <v>41</v>
      </c>
      <c r="F438" s="7" t="s">
        <v>1081</v>
      </c>
      <c r="G438" s="10" t="n">
        <v>0</v>
      </c>
      <c r="H438" s="11" t="n">
        <v>228.72</v>
      </c>
      <c r="I438" s="11" t="n">
        <v>217.23</v>
      </c>
      <c r="J438" s="11" t="n">
        <v>217.23</v>
      </c>
      <c r="K438" s="11" t="n">
        <v>3.35</v>
      </c>
      <c r="L438" s="11" t="n">
        <v>3.69</v>
      </c>
      <c r="M438" s="11" t="n">
        <v>8.9</v>
      </c>
      <c r="N438" s="12" t="n">
        <v>25.43291</v>
      </c>
    </row>
    <row r="439" customFormat="false" ht="15" hidden="false" customHeight="false" outlineLevel="0" collapsed="false">
      <c r="A439" s="7" t="s">
        <v>1083</v>
      </c>
      <c r="B439" s="7" t="s">
        <v>1164</v>
      </c>
      <c r="C439" s="7" t="s">
        <v>1136</v>
      </c>
      <c r="D439" s="7" t="s">
        <v>1049</v>
      </c>
      <c r="E439" s="7" t="s">
        <v>41</v>
      </c>
      <c r="F439" s="7" t="s">
        <v>1084</v>
      </c>
      <c r="G439" s="10" t="n">
        <v>0</v>
      </c>
      <c r="H439" s="11" t="n">
        <v>81.91</v>
      </c>
      <c r="I439" s="11" t="n">
        <v>77.01</v>
      </c>
      <c r="J439" s="11" t="n">
        <v>77.01</v>
      </c>
      <c r="K439" s="11" t="n">
        <v>6.62</v>
      </c>
      <c r="L439" s="11" t="n">
        <v>6.35</v>
      </c>
      <c r="M439" s="11" t="n">
        <v>9.1</v>
      </c>
      <c r="N439" s="12" t="n">
        <v>33.19276</v>
      </c>
    </row>
    <row r="440" customFormat="false" ht="15" hidden="false" customHeight="false" outlineLevel="0" collapsed="false">
      <c r="A440" s="7" t="s">
        <v>1085</v>
      </c>
      <c r="B440" s="7" t="s">
        <v>1164</v>
      </c>
      <c r="C440" s="7" t="s">
        <v>1136</v>
      </c>
      <c r="D440" s="7" t="s">
        <v>1049</v>
      </c>
      <c r="E440" s="7" t="s">
        <v>1086</v>
      </c>
      <c r="F440" s="7" t="s">
        <v>1077</v>
      </c>
      <c r="G440" s="10" t="n">
        <v>0</v>
      </c>
      <c r="H440" s="11" t="n">
        <v>9.22</v>
      </c>
      <c r="I440" s="11" t="n">
        <v>5.25</v>
      </c>
      <c r="J440" s="11" t="n">
        <v>5.25</v>
      </c>
      <c r="K440" s="11" t="n">
        <v>6.62</v>
      </c>
      <c r="L440" s="11" t="n">
        <v>6.65</v>
      </c>
      <c r="M440" s="11" t="n">
        <v>8.33</v>
      </c>
      <c r="N440" s="12" t="n">
        <v>20.97213</v>
      </c>
    </row>
    <row r="441" customFormat="false" ht="15" hidden="false" customHeight="false" outlineLevel="0" collapsed="false">
      <c r="A441" s="7" t="s">
        <v>1087</v>
      </c>
      <c r="B441" s="7" t="s">
        <v>1164</v>
      </c>
      <c r="C441" s="7" t="s">
        <v>1136</v>
      </c>
      <c r="D441" s="7" t="s">
        <v>1088</v>
      </c>
      <c r="E441" s="7" t="s">
        <v>1088</v>
      </c>
      <c r="F441" s="7" t="s">
        <v>1089</v>
      </c>
      <c r="G441" s="10" t="n">
        <v>0</v>
      </c>
      <c r="H441" s="11" t="n">
        <v>28.38</v>
      </c>
      <c r="I441" s="11" t="n">
        <v>-22.2</v>
      </c>
      <c r="J441" s="11" t="n">
        <v>-22.2</v>
      </c>
      <c r="K441" s="11" t="n">
        <v>1.94</v>
      </c>
      <c r="L441" s="11" t="n">
        <v>-0.05</v>
      </c>
      <c r="M441" s="11" t="n">
        <v>-0.82</v>
      </c>
      <c r="N441" s="12" t="n">
        <v>21.721529</v>
      </c>
    </row>
    <row r="442" customFormat="false" ht="15" hidden="false" customHeight="false" outlineLevel="0" collapsed="false">
      <c r="A442" s="7" t="s">
        <v>1091</v>
      </c>
      <c r="B442" s="7" t="s">
        <v>1164</v>
      </c>
      <c r="C442" s="7" t="s">
        <v>1136</v>
      </c>
      <c r="D442" s="7" t="s">
        <v>1088</v>
      </c>
      <c r="E442" s="7" t="s">
        <v>1088</v>
      </c>
      <c r="F442" s="7" t="s">
        <v>1089</v>
      </c>
      <c r="G442" s="10" t="n">
        <v>0</v>
      </c>
      <c r="H442" s="11" t="n">
        <v>-84.4</v>
      </c>
      <c r="I442" s="11" t="n">
        <v>-63.81</v>
      </c>
      <c r="J442" s="11" t="n">
        <v>-63.81</v>
      </c>
      <c r="K442" s="11" t="n">
        <v>-7.19</v>
      </c>
      <c r="L442" s="11" t="n">
        <v>-7.03</v>
      </c>
      <c r="M442" s="11" t="n">
        <v>-3.39</v>
      </c>
      <c r="N442" s="12" t="n">
        <v>69.422776</v>
      </c>
    </row>
    <row r="443" customFormat="false" ht="15" hidden="false" customHeight="false" outlineLevel="0" collapsed="false">
      <c r="A443" s="7" t="s">
        <v>1092</v>
      </c>
      <c r="B443" s="7" t="s">
        <v>1164</v>
      </c>
      <c r="C443" s="7" t="s">
        <v>1136</v>
      </c>
      <c r="D443" s="7" t="s">
        <v>1093</v>
      </c>
      <c r="E443" s="7" t="s">
        <v>1088</v>
      </c>
      <c r="F443" s="7" t="s">
        <v>1075</v>
      </c>
      <c r="G443" s="10" t="n">
        <v>0</v>
      </c>
      <c r="H443" s="11" t="n">
        <v>5.72</v>
      </c>
      <c r="I443" s="11" t="n">
        <v>5.42</v>
      </c>
      <c r="J443" s="11" t="n">
        <v>5.42</v>
      </c>
      <c r="K443" s="11" t="n">
        <v>5.53</v>
      </c>
      <c r="L443" s="11" t="n">
        <v>5.78</v>
      </c>
      <c r="M443" s="11" t="n">
        <v>7.12</v>
      </c>
      <c r="N443" s="12" t="n">
        <v>0.200667</v>
      </c>
    </row>
    <row r="444" customFormat="false" ht="15" hidden="false" customHeight="false" outlineLevel="0" collapsed="false">
      <c r="A444" s="7" t="s">
        <v>1094</v>
      </c>
      <c r="B444" s="7" t="s">
        <v>1164</v>
      </c>
      <c r="C444" s="7" t="s">
        <v>1136</v>
      </c>
      <c r="D444" s="7" t="s">
        <v>1093</v>
      </c>
      <c r="E444" s="7" t="s">
        <v>1095</v>
      </c>
      <c r="F444" s="7" t="s">
        <v>1096</v>
      </c>
      <c r="G444" s="10" t="n">
        <v>0</v>
      </c>
      <c r="H444" s="11" t="n">
        <v>30.78</v>
      </c>
      <c r="I444" s="11" t="n">
        <v>-20.69</v>
      </c>
      <c r="J444" s="11" t="n">
        <v>-20.69</v>
      </c>
      <c r="K444" s="11" t="n">
        <v>1.48</v>
      </c>
      <c r="L444" s="11" t="n">
        <v>-0.36</v>
      </c>
      <c r="M444" s="11" t="n">
        <v>-0.92</v>
      </c>
      <c r="N444" s="12" t="n">
        <v>0.107351</v>
      </c>
    </row>
    <row r="445" customFormat="false" ht="15" hidden="false" customHeight="false" outlineLevel="0" collapsed="false">
      <c r="A445" s="7" t="s">
        <v>1094</v>
      </c>
      <c r="B445" s="7" t="s">
        <v>1164</v>
      </c>
      <c r="C445" s="7" t="s">
        <v>1136</v>
      </c>
      <c r="D445" s="7" t="s">
        <v>1093</v>
      </c>
      <c r="E445" s="7" t="s">
        <v>1095</v>
      </c>
      <c r="F445" s="7" t="s">
        <v>1096</v>
      </c>
      <c r="G445" s="10" t="n">
        <v>0</v>
      </c>
      <c r="H445" s="11" t="n">
        <v>0</v>
      </c>
      <c r="I445" s="11" t="n">
        <v>0</v>
      </c>
      <c r="J445" s="11" t="n">
        <v>0</v>
      </c>
      <c r="K445" s="11" t="n">
        <v>0</v>
      </c>
      <c r="L445" s="11" t="n">
        <v>0</v>
      </c>
      <c r="M445" s="11" t="n">
        <v>0</v>
      </c>
      <c r="N445" s="12" t="n">
        <v>0.005973</v>
      </c>
    </row>
    <row r="446" customFormat="false" ht="15" hidden="false" customHeight="false" outlineLevel="0" collapsed="false">
      <c r="A446" s="7" t="s">
        <v>1097</v>
      </c>
      <c r="B446" s="7" t="s">
        <v>1164</v>
      </c>
      <c r="C446" s="7" t="s">
        <v>1136</v>
      </c>
      <c r="D446" s="7" t="s">
        <v>1098</v>
      </c>
      <c r="E446" s="7" t="s">
        <v>49</v>
      </c>
      <c r="F446" s="7"/>
      <c r="G446" s="10" t="n">
        <v>0</v>
      </c>
      <c r="H446" s="11" t="n">
        <v>-0.99</v>
      </c>
      <c r="I446" s="11" t="n">
        <v>1.12</v>
      </c>
      <c r="J446" s="11" t="n">
        <v>1.12</v>
      </c>
      <c r="K446" s="11" t="n">
        <v>6.1</v>
      </c>
      <c r="L446" s="11" t="n">
        <v>15.59</v>
      </c>
      <c r="M446" s="11" t="n">
        <v>40.53</v>
      </c>
      <c r="N446" s="12" t="n">
        <v>29.009097</v>
      </c>
    </row>
    <row r="447" customFormat="false" ht="15" hidden="false" customHeight="false" outlineLevel="0" collapsed="false">
      <c r="A447" s="7" t="s">
        <v>1108</v>
      </c>
      <c r="B447" s="7" t="s">
        <v>1164</v>
      </c>
      <c r="C447" s="7" t="s">
        <v>1136</v>
      </c>
      <c r="D447" s="7" t="s">
        <v>1098</v>
      </c>
      <c r="E447" s="7" t="s">
        <v>49</v>
      </c>
      <c r="F447" s="7"/>
      <c r="G447" s="10" t="n">
        <v>0</v>
      </c>
      <c r="H447" s="11" t="n">
        <v>-18.57</v>
      </c>
      <c r="I447" s="11" t="n">
        <v>-21.28</v>
      </c>
      <c r="J447" s="11" t="n">
        <v>-21.28</v>
      </c>
      <c r="K447" s="11" t="n">
        <v>-0.09</v>
      </c>
      <c r="L447" s="11" t="n">
        <v>-0.92</v>
      </c>
      <c r="M447" s="11" t="n">
        <v>-1.15</v>
      </c>
      <c r="N447" s="12" t="n">
        <v>28.375694</v>
      </c>
    </row>
    <row r="448" customFormat="false" ht="15" hidden="false" customHeight="false" outlineLevel="0" collapsed="false">
      <c r="A448" s="7" t="s">
        <v>1109</v>
      </c>
      <c r="B448" s="7" t="s">
        <v>1164</v>
      </c>
      <c r="C448" s="7" t="s">
        <v>1136</v>
      </c>
      <c r="D448" s="7" t="s">
        <v>1098</v>
      </c>
      <c r="E448" s="7" t="s">
        <v>49</v>
      </c>
      <c r="F448" s="7"/>
      <c r="G448" s="10" t="n">
        <v>0</v>
      </c>
      <c r="H448" s="11" t="n">
        <v>-0.42</v>
      </c>
      <c r="I448" s="11" t="n">
        <v>-0.77</v>
      </c>
      <c r="J448" s="11" t="n">
        <v>-0.77</v>
      </c>
      <c r="K448" s="11" t="n">
        <v>-5.63</v>
      </c>
      <c r="L448" s="11" t="n">
        <v>-6.87</v>
      </c>
      <c r="M448" s="11" t="n">
        <v>-5.3</v>
      </c>
      <c r="N448" s="12" t="n">
        <v>24.282614</v>
      </c>
    </row>
    <row r="449" customFormat="false" ht="15" hidden="false" customHeight="false" outlineLevel="0" collapsed="false">
      <c r="A449" s="7" t="s">
        <v>1099</v>
      </c>
      <c r="B449" s="7" t="s">
        <v>1164</v>
      </c>
      <c r="C449" s="7" t="s">
        <v>1136</v>
      </c>
      <c r="D449" s="7" t="s">
        <v>1098</v>
      </c>
      <c r="E449" s="7" t="s">
        <v>91</v>
      </c>
      <c r="F449" s="7"/>
      <c r="G449" s="10" t="n">
        <v>0</v>
      </c>
      <c r="H449" s="11" t="n">
        <v>-0.3</v>
      </c>
      <c r="I449" s="11" t="n">
        <v>1.19</v>
      </c>
      <c r="J449" s="11" t="n">
        <v>1.19</v>
      </c>
      <c r="K449" s="11" t="n">
        <v>5.88</v>
      </c>
      <c r="L449" s="11" t="n">
        <v>4.03</v>
      </c>
      <c r="M449" s="11" t="n">
        <v>14.59</v>
      </c>
      <c r="N449" s="12" t="n">
        <v>233.208509</v>
      </c>
    </row>
    <row r="450" customFormat="false" ht="15" hidden="false" customHeight="false" outlineLevel="0" collapsed="false">
      <c r="A450" s="7" t="s">
        <v>1101</v>
      </c>
      <c r="B450" s="7" t="s">
        <v>1164</v>
      </c>
      <c r="C450" s="7" t="s">
        <v>1136</v>
      </c>
      <c r="D450" s="7" t="s">
        <v>1098</v>
      </c>
      <c r="E450" s="7" t="s">
        <v>91</v>
      </c>
      <c r="F450" s="7"/>
      <c r="G450" s="10" t="n">
        <v>0</v>
      </c>
      <c r="H450" s="11" t="n">
        <v>-0.01</v>
      </c>
      <c r="I450" s="11" t="n">
        <v>0.07</v>
      </c>
      <c r="J450" s="11" t="n">
        <v>0.07</v>
      </c>
      <c r="K450" s="11" t="n">
        <v>2.38</v>
      </c>
      <c r="L450" s="11" t="n">
        <v>4.6</v>
      </c>
      <c r="M450" s="11" t="n">
        <v>14.05</v>
      </c>
      <c r="N450" s="12" t="n">
        <v>148.629282</v>
      </c>
    </row>
    <row r="451" customFormat="false" ht="15" hidden="false" customHeight="false" outlineLevel="0" collapsed="false">
      <c r="A451" s="7" t="s">
        <v>1102</v>
      </c>
      <c r="B451" s="7" t="s">
        <v>1164</v>
      </c>
      <c r="C451" s="7" t="s">
        <v>1136</v>
      </c>
      <c r="D451" s="7" t="s">
        <v>1098</v>
      </c>
      <c r="E451" s="7" t="s">
        <v>91</v>
      </c>
      <c r="F451" s="7"/>
      <c r="G451" s="10" t="n">
        <v>0</v>
      </c>
      <c r="H451" s="11" t="n">
        <v>-0.64</v>
      </c>
      <c r="I451" s="11" t="n">
        <v>1.89</v>
      </c>
      <c r="J451" s="11" t="n">
        <v>1.89</v>
      </c>
      <c r="K451" s="11" t="n">
        <v>20.28</v>
      </c>
      <c r="L451" s="11" t="n">
        <v>7.76</v>
      </c>
      <c r="M451" s="11" t="n">
        <v>53.92</v>
      </c>
      <c r="N451" s="12" t="n">
        <v>15.755009</v>
      </c>
    </row>
    <row r="452" customFormat="false" ht="15" hidden="false" customHeight="false" outlineLevel="0" collapsed="false">
      <c r="A452" s="7" t="s">
        <v>1103</v>
      </c>
      <c r="B452" s="7" t="s">
        <v>1164</v>
      </c>
      <c r="C452" s="7" t="s">
        <v>1136</v>
      </c>
      <c r="D452" s="7" t="s">
        <v>1098</v>
      </c>
      <c r="E452" s="7" t="s">
        <v>91</v>
      </c>
      <c r="F452" s="7"/>
      <c r="G452" s="10" t="n">
        <v>0</v>
      </c>
      <c r="H452" s="11" t="n">
        <v>-1.19</v>
      </c>
      <c r="I452" s="11" t="n">
        <v>-2.34</v>
      </c>
      <c r="J452" s="11" t="n">
        <v>-2.34</v>
      </c>
      <c r="K452" s="11" t="n">
        <v>4.45</v>
      </c>
      <c r="L452" s="11" t="n">
        <v>6.44</v>
      </c>
      <c r="M452" s="11" t="n">
        <v>17.39</v>
      </c>
      <c r="N452" s="12" t="n">
        <v>3.631112</v>
      </c>
    </row>
    <row r="453" customFormat="false" ht="15" hidden="false" customHeight="false" outlineLevel="0" collapsed="false">
      <c r="A453" s="7" t="s">
        <v>1104</v>
      </c>
      <c r="B453" s="7" t="s">
        <v>1164</v>
      </c>
      <c r="C453" s="7" t="s">
        <v>1136</v>
      </c>
      <c r="D453" s="7" t="s">
        <v>1098</v>
      </c>
      <c r="E453" s="7" t="s">
        <v>91</v>
      </c>
      <c r="F453" s="7"/>
      <c r="G453" s="10" t="n">
        <v>0</v>
      </c>
      <c r="H453" s="11" t="n">
        <v>-1.23</v>
      </c>
      <c r="I453" s="11" t="n">
        <v>0.65</v>
      </c>
      <c r="J453" s="11" t="n">
        <v>0.65</v>
      </c>
      <c r="K453" s="11" t="n">
        <v>22.22</v>
      </c>
      <c r="L453" s="11" t="n">
        <v>22.81</v>
      </c>
      <c r="M453" s="11" t="n">
        <v>31.62</v>
      </c>
      <c r="N453" s="12" t="n">
        <v>19.100517</v>
      </c>
    </row>
    <row r="454" customFormat="false" ht="15" hidden="false" customHeight="false" outlineLevel="0" collapsed="false">
      <c r="A454" s="7" t="s">
        <v>1105</v>
      </c>
      <c r="B454" s="7" t="s">
        <v>1164</v>
      </c>
      <c r="C454" s="7" t="s">
        <v>1136</v>
      </c>
      <c r="D454" s="7" t="s">
        <v>1098</v>
      </c>
      <c r="E454" s="7" t="s">
        <v>91</v>
      </c>
      <c r="F454" s="7"/>
      <c r="G454" s="10" t="n">
        <v>0</v>
      </c>
      <c r="H454" s="11" t="n">
        <v>-0.43</v>
      </c>
      <c r="I454" s="11" t="n">
        <v>1.1</v>
      </c>
      <c r="J454" s="11" t="n">
        <v>1.1</v>
      </c>
      <c r="K454" s="11" t="n">
        <v>9.13</v>
      </c>
      <c r="L454" s="11" t="n">
        <v>11.48</v>
      </c>
      <c r="M454" s="11" t="n">
        <v>28.66</v>
      </c>
      <c r="N454" s="12" t="n">
        <v>14.351303</v>
      </c>
    </row>
    <row r="455" customFormat="false" ht="15" hidden="false" customHeight="false" outlineLevel="0" collapsed="false">
      <c r="A455" s="7" t="s">
        <v>1106</v>
      </c>
      <c r="B455" s="7" t="s">
        <v>1164</v>
      </c>
      <c r="C455" s="7" t="s">
        <v>1136</v>
      </c>
      <c r="D455" s="7" t="s">
        <v>1098</v>
      </c>
      <c r="E455" s="7" t="s">
        <v>91</v>
      </c>
      <c r="F455" s="7"/>
      <c r="G455" s="10" t="n">
        <v>0</v>
      </c>
      <c r="H455" s="11" t="n">
        <v>-0.91</v>
      </c>
      <c r="I455" s="11" t="n">
        <v>0.81</v>
      </c>
      <c r="J455" s="11" t="n">
        <v>0.81</v>
      </c>
      <c r="K455" s="11" t="n">
        <v>3.62</v>
      </c>
      <c r="L455" s="11" t="n">
        <v>10.87</v>
      </c>
      <c r="M455" s="11" t="n">
        <v>33.54</v>
      </c>
      <c r="N455" s="12" t="n">
        <v>174.410808</v>
      </c>
    </row>
    <row r="456" customFormat="false" ht="15" hidden="false" customHeight="false" outlineLevel="0" collapsed="false">
      <c r="A456" s="7" t="s">
        <v>1107</v>
      </c>
      <c r="B456" s="7" t="s">
        <v>1164</v>
      </c>
      <c r="C456" s="7" t="s">
        <v>1136</v>
      </c>
      <c r="D456" s="7" t="s">
        <v>1098</v>
      </c>
      <c r="E456" s="7" t="s">
        <v>91</v>
      </c>
      <c r="F456" s="7"/>
      <c r="G456" s="10" t="n">
        <v>0</v>
      </c>
      <c r="H456" s="11" t="n">
        <v>0.17</v>
      </c>
      <c r="I456" s="11" t="n">
        <v>2.06</v>
      </c>
      <c r="J456" s="11" t="n">
        <v>2.06</v>
      </c>
      <c r="K456" s="11" t="n">
        <v>11.64</v>
      </c>
      <c r="L456" s="11" t="n">
        <v>12.83</v>
      </c>
      <c r="M456" s="11" t="n">
        <v>32.55</v>
      </c>
      <c r="N456" s="12" t="n">
        <v>202.579469</v>
      </c>
    </row>
    <row r="457" customFormat="false" ht="15" hidden="false" customHeight="false" outlineLevel="0" collapsed="false">
      <c r="A457" s="7" t="s">
        <v>1108</v>
      </c>
      <c r="B457" s="7" t="s">
        <v>1164</v>
      </c>
      <c r="C457" s="7" t="s">
        <v>1136</v>
      </c>
      <c r="D457" s="7" t="s">
        <v>1098</v>
      </c>
      <c r="E457" s="7" t="s">
        <v>91</v>
      </c>
      <c r="F457" s="7"/>
      <c r="G457" s="10" t="n">
        <v>0</v>
      </c>
      <c r="H457" s="11" t="n">
        <v>-0.06</v>
      </c>
      <c r="I457" s="11" t="n">
        <v>-0.46</v>
      </c>
      <c r="J457" s="11" t="n">
        <v>-0.46</v>
      </c>
      <c r="K457" s="11" t="n">
        <v>-0.07</v>
      </c>
      <c r="L457" s="11" t="n">
        <v>-0.93</v>
      </c>
      <c r="M457" s="11" t="n">
        <v>-2.31</v>
      </c>
      <c r="N457" s="12" t="n">
        <v>28.375694</v>
      </c>
    </row>
    <row r="458" customFormat="false" ht="15" hidden="false" customHeight="false" outlineLevel="0" collapsed="false">
      <c r="A458" s="7" t="s">
        <v>1110</v>
      </c>
      <c r="B458" s="7" t="s">
        <v>1164</v>
      </c>
      <c r="C458" s="7" t="s">
        <v>1136</v>
      </c>
      <c r="D458" s="7" t="s">
        <v>1098</v>
      </c>
      <c r="E458" s="7" t="s">
        <v>91</v>
      </c>
      <c r="F458" s="7"/>
      <c r="G458" s="10" t="n">
        <v>0</v>
      </c>
      <c r="H458" s="11" t="n">
        <v>-0.43</v>
      </c>
      <c r="I458" s="11" t="n">
        <v>1.12</v>
      </c>
      <c r="J458" s="11" t="n">
        <v>1.12</v>
      </c>
      <c r="K458" s="11" t="n">
        <v>9.86</v>
      </c>
      <c r="L458" s="11" t="n">
        <v>12.48</v>
      </c>
      <c r="M458" s="11" t="n">
        <v>29.66</v>
      </c>
      <c r="N458" s="12" t="n">
        <v>112.118072</v>
      </c>
    </row>
    <row r="459" customFormat="false" ht="15" hidden="false" customHeight="false" outlineLevel="0" collapsed="false">
      <c r="A459" s="7" t="s">
        <v>1111</v>
      </c>
      <c r="B459" s="7" t="s">
        <v>1164</v>
      </c>
      <c r="C459" s="7" t="s">
        <v>1136</v>
      </c>
      <c r="D459" s="7" t="s">
        <v>1098</v>
      </c>
      <c r="E459" s="7" t="s">
        <v>91</v>
      </c>
      <c r="F459" s="7"/>
      <c r="G459" s="10" t="n">
        <v>0</v>
      </c>
      <c r="H459" s="11" t="n">
        <v>-0.29</v>
      </c>
      <c r="I459" s="11" t="n">
        <v>1.23</v>
      </c>
      <c r="J459" s="11" t="n">
        <v>1.23</v>
      </c>
      <c r="K459" s="11" t="n">
        <v>6.21</v>
      </c>
      <c r="L459" s="11" t="n">
        <v>4.42</v>
      </c>
      <c r="M459" s="11" t="n">
        <v>15.25</v>
      </c>
      <c r="N459" s="12" t="n">
        <v>100.570191</v>
      </c>
    </row>
    <row r="460" customFormat="false" ht="15" hidden="false" customHeight="false" outlineLevel="0" collapsed="false">
      <c r="A460" s="7" t="s">
        <v>1112</v>
      </c>
      <c r="B460" s="7" t="s">
        <v>1164</v>
      </c>
      <c r="C460" s="7" t="s">
        <v>1136</v>
      </c>
      <c r="D460" s="7" t="s">
        <v>1093</v>
      </c>
      <c r="E460" s="7" t="s">
        <v>91</v>
      </c>
      <c r="F460" s="7"/>
      <c r="G460" s="10" t="n">
        <v>0</v>
      </c>
      <c r="H460" s="11" t="n">
        <v>-0.21</v>
      </c>
      <c r="I460" s="11" t="n">
        <v>0.22</v>
      </c>
      <c r="J460" s="11" t="n">
        <v>0.22</v>
      </c>
      <c r="K460" s="11" t="n">
        <v>4.03</v>
      </c>
      <c r="L460" s="11" t="n">
        <v>6.5</v>
      </c>
      <c r="M460" s="11" t="n">
        <v>19.23</v>
      </c>
      <c r="N460" s="12" t="n">
        <v>0.212464</v>
      </c>
    </row>
    <row r="461" customFormat="false" ht="15" hidden="false" customHeight="false" outlineLevel="0" collapsed="false">
      <c r="A461" s="7" t="s">
        <v>1114</v>
      </c>
      <c r="B461" s="7" t="s">
        <v>1164</v>
      </c>
      <c r="C461" s="7" t="s">
        <v>1136</v>
      </c>
      <c r="D461" s="7" t="s">
        <v>1093</v>
      </c>
      <c r="E461" s="7" t="s">
        <v>91</v>
      </c>
      <c r="F461" s="7"/>
      <c r="G461" s="10" t="n">
        <v>0</v>
      </c>
      <c r="H461" s="11" t="n">
        <v>-0.54</v>
      </c>
      <c r="I461" s="11" t="n">
        <v>0.88</v>
      </c>
      <c r="J461" s="11" t="n">
        <v>0.88</v>
      </c>
      <c r="K461" s="11" t="n">
        <v>11.25</v>
      </c>
      <c r="L461" s="11" t="n">
        <v>14.79</v>
      </c>
      <c r="M461" s="11" t="n">
        <v>32.06</v>
      </c>
      <c r="N461" s="12" t="n">
        <v>0.256895</v>
      </c>
    </row>
    <row r="462" customFormat="false" ht="15" hidden="false" customHeight="false" outlineLevel="0" collapsed="false">
      <c r="A462" s="7" t="s">
        <v>1115</v>
      </c>
      <c r="B462" s="7" t="s">
        <v>1164</v>
      </c>
      <c r="C462" s="7" t="s">
        <v>1136</v>
      </c>
      <c r="D462" s="7" t="s">
        <v>1093</v>
      </c>
      <c r="E462" s="7" t="s">
        <v>1095</v>
      </c>
      <c r="F462" s="7"/>
      <c r="G462" s="10" t="n">
        <v>0</v>
      </c>
      <c r="H462" s="11" t="n">
        <v>-0.21</v>
      </c>
      <c r="I462" s="11" t="n">
        <v>-0.37</v>
      </c>
      <c r="J462" s="11" t="n">
        <v>-0.37</v>
      </c>
      <c r="K462" s="11" t="n">
        <v>1.58</v>
      </c>
      <c r="L462" s="11" t="n">
        <v>0.92</v>
      </c>
      <c r="M462" s="11" t="n">
        <v>1.92</v>
      </c>
      <c r="N462" s="12" t="n">
        <v>0.120187</v>
      </c>
    </row>
    <row r="463" customFormat="false" ht="15" hidden="false" customHeight="false" outlineLevel="0" collapsed="false">
      <c r="A463" s="7" t="s">
        <v>1116</v>
      </c>
      <c r="B463" s="7" t="s">
        <v>1164</v>
      </c>
      <c r="C463" s="7" t="s">
        <v>1136</v>
      </c>
      <c r="D463" s="7" t="s">
        <v>1093</v>
      </c>
      <c r="E463" s="7" t="s">
        <v>1095</v>
      </c>
      <c r="F463" s="7"/>
      <c r="G463" s="10" t="n">
        <v>0</v>
      </c>
      <c r="H463" s="11" t="n">
        <v>-0.56</v>
      </c>
      <c r="I463" s="11" t="n">
        <v>0.15</v>
      </c>
      <c r="J463" s="11" t="n">
        <v>0.15</v>
      </c>
      <c r="K463" s="11" t="n">
        <v>11.99</v>
      </c>
      <c r="L463" s="11" t="n">
        <v>12.52</v>
      </c>
      <c r="M463" s="11" t="n">
        <v>20.42</v>
      </c>
      <c r="N463" s="12" t="n">
        <v>0.186626</v>
      </c>
    </row>
    <row r="464" customFormat="false" ht="15" hidden="false" customHeight="false" outlineLevel="0" collapsed="false">
      <c r="A464" s="7" t="s">
        <v>1115</v>
      </c>
      <c r="B464" s="7" t="s">
        <v>1164</v>
      </c>
      <c r="C464" s="7" t="s">
        <v>1136</v>
      </c>
      <c r="D464" s="7" t="s">
        <v>1093</v>
      </c>
      <c r="E464" s="7" t="s">
        <v>1095</v>
      </c>
      <c r="F464" s="7"/>
      <c r="G464" s="10" t="n">
        <v>0</v>
      </c>
      <c r="H464" s="11" t="n">
        <v>-0.27</v>
      </c>
      <c r="I464" s="11" t="n">
        <v>0.16</v>
      </c>
      <c r="J464" s="11" t="n">
        <v>0.16</v>
      </c>
      <c r="K464" s="11" t="n">
        <v>1.71</v>
      </c>
      <c r="L464" s="11" t="n">
        <v>3.22</v>
      </c>
      <c r="M464" s="11" t="n">
        <v>9.41</v>
      </c>
      <c r="N464" s="12" t="n">
        <v>0.006687</v>
      </c>
    </row>
    <row r="465" customFormat="false" ht="15" hidden="false" customHeight="false" outlineLevel="0" collapsed="false">
      <c r="A465" s="7" t="s">
        <v>1116</v>
      </c>
      <c r="B465" s="7" t="s">
        <v>1164</v>
      </c>
      <c r="C465" s="7" t="s">
        <v>1136</v>
      </c>
      <c r="D465" s="7" t="s">
        <v>1093</v>
      </c>
      <c r="E465" s="7" t="s">
        <v>1095</v>
      </c>
      <c r="F465" s="7"/>
      <c r="G465" s="10" t="n">
        <v>0</v>
      </c>
      <c r="H465" s="11" t="n">
        <v>-0.62</v>
      </c>
      <c r="I465" s="11" t="n">
        <v>0.69</v>
      </c>
      <c r="J465" s="11" t="n">
        <v>0.69</v>
      </c>
      <c r="K465" s="11" t="n">
        <v>12.14</v>
      </c>
      <c r="L465" s="11" t="n">
        <v>15.09</v>
      </c>
      <c r="M465" s="11" t="n">
        <v>29.27</v>
      </c>
      <c r="N465" s="12" t="n">
        <v>0.010384</v>
      </c>
    </row>
    <row r="466" customFormat="false" ht="15" hidden="false" customHeight="false" outlineLevel="0" collapsed="false">
      <c r="A466" s="7" t="s">
        <v>1117</v>
      </c>
      <c r="B466" s="7" t="s">
        <v>1164</v>
      </c>
      <c r="C466" s="7" t="s">
        <v>1136</v>
      </c>
      <c r="D466" s="7" t="s">
        <v>1118</v>
      </c>
      <c r="E466" s="7" t="s">
        <v>1095</v>
      </c>
      <c r="F466" s="7"/>
      <c r="G466" s="10" t="n">
        <v>0</v>
      </c>
      <c r="H466" s="11" t="n">
        <v>0</v>
      </c>
      <c r="I466" s="11" t="n">
        <v>0.14</v>
      </c>
      <c r="J466" s="11" t="n">
        <v>0.14</v>
      </c>
      <c r="K466" s="11" t="n">
        <v>4.79</v>
      </c>
      <c r="L466" s="11" t="n">
        <v>6.62</v>
      </c>
      <c r="M466" s="11" t="n">
        <v>16.66</v>
      </c>
      <c r="N466" s="12" t="n">
        <v>17.019378</v>
      </c>
    </row>
    <row r="467" customFormat="false" ht="15" hidden="false" customHeight="false" outlineLevel="0" collapsed="false">
      <c r="A467" s="7" t="s">
        <v>1120</v>
      </c>
      <c r="B467" s="7" t="s">
        <v>1164</v>
      </c>
      <c r="C467" s="7" t="s">
        <v>1136</v>
      </c>
      <c r="D467" s="7" t="s">
        <v>1118</v>
      </c>
      <c r="E467" s="7" t="s">
        <v>1095</v>
      </c>
      <c r="F467" s="7"/>
      <c r="G467" s="10" t="n">
        <v>0</v>
      </c>
      <c r="H467" s="11" t="n">
        <v>-0.16</v>
      </c>
      <c r="I467" s="11" t="n">
        <v>0.29</v>
      </c>
      <c r="J467" s="11" t="n">
        <v>0.29</v>
      </c>
      <c r="K467" s="11" t="n">
        <v>5.62</v>
      </c>
      <c r="L467" s="11" t="n">
        <v>7.86</v>
      </c>
      <c r="M467" s="11" t="n">
        <v>19.61</v>
      </c>
      <c r="N467" s="12" t="n">
        <v>18.73572</v>
      </c>
    </row>
    <row r="468" customFormat="false" ht="15" hidden="false" customHeight="false" outlineLevel="0" collapsed="false">
      <c r="A468" s="7" t="s">
        <v>1121</v>
      </c>
      <c r="B468" s="7" t="s">
        <v>1164</v>
      </c>
      <c r="C468" s="7" t="s">
        <v>1136</v>
      </c>
      <c r="D468" s="7" t="s">
        <v>1118</v>
      </c>
      <c r="E468" s="7" t="s">
        <v>1095</v>
      </c>
      <c r="F468" s="7"/>
      <c r="G468" s="10" t="n">
        <v>0</v>
      </c>
      <c r="H468" s="11" t="n">
        <v>-0.27</v>
      </c>
      <c r="I468" s="11" t="n">
        <v>0.45</v>
      </c>
      <c r="J468" s="11" t="n">
        <v>0.45</v>
      </c>
      <c r="K468" s="11" t="n">
        <v>6.72</v>
      </c>
      <c r="L468" s="11" t="n">
        <v>9.32</v>
      </c>
      <c r="M468" s="11" t="n">
        <v>22.56</v>
      </c>
      <c r="N468" s="12" t="n">
        <v>19.042409</v>
      </c>
    </row>
    <row r="469" customFormat="false" ht="15" hidden="false" customHeight="false" outlineLevel="0" collapsed="false">
      <c r="A469" s="7" t="s">
        <v>1122</v>
      </c>
      <c r="B469" s="7" t="s">
        <v>1164</v>
      </c>
      <c r="C469" s="7" t="s">
        <v>1136</v>
      </c>
      <c r="D469" s="7" t="s">
        <v>1118</v>
      </c>
      <c r="E469" s="7" t="s">
        <v>1095</v>
      </c>
      <c r="F469" s="7"/>
      <c r="G469" s="10" t="n">
        <v>0</v>
      </c>
      <c r="H469" s="11" t="n">
        <v>-0.41</v>
      </c>
      <c r="I469" s="11" t="n">
        <v>0.66</v>
      </c>
      <c r="J469" s="11" t="n">
        <v>0.66</v>
      </c>
      <c r="K469" s="11" t="n">
        <v>8.72</v>
      </c>
      <c r="L469" s="11" t="n">
        <v>11.76</v>
      </c>
      <c r="M469" s="11" t="n">
        <v>26.87</v>
      </c>
      <c r="N469" s="12" t="n">
        <v>19.966245</v>
      </c>
    </row>
    <row r="470" customFormat="false" ht="15" hidden="false" customHeight="false" outlineLevel="0" collapsed="false">
      <c r="A470" s="7" t="s">
        <v>1123</v>
      </c>
      <c r="B470" s="7" t="s">
        <v>1164</v>
      </c>
      <c r="C470" s="7" t="s">
        <v>1136</v>
      </c>
      <c r="D470" s="7" t="s">
        <v>1118</v>
      </c>
      <c r="E470" s="7" t="s">
        <v>1124</v>
      </c>
      <c r="F470" s="7"/>
      <c r="G470" s="10" t="n">
        <v>0</v>
      </c>
      <c r="H470" s="11" t="n">
        <v>0.08</v>
      </c>
      <c r="I470" s="11" t="n">
        <v>-0.42</v>
      </c>
      <c r="J470" s="11" t="n">
        <v>-0.42</v>
      </c>
      <c r="K470" s="11" t="n">
        <v>2.15</v>
      </c>
      <c r="L470" s="11" t="n">
        <v>0.88</v>
      </c>
      <c r="M470" s="11" t="n">
        <v>-0.14</v>
      </c>
      <c r="N470" s="12" t="n">
        <v>10.843097</v>
      </c>
    </row>
    <row r="471" customFormat="false" ht="15" hidden="false" customHeight="false" outlineLevel="0" collapsed="false">
      <c r="A471" s="7" t="s">
        <v>1125</v>
      </c>
      <c r="B471" s="7" t="s">
        <v>1164</v>
      </c>
      <c r="C471" s="7" t="s">
        <v>1136</v>
      </c>
      <c r="D471" s="7" t="s">
        <v>1118</v>
      </c>
      <c r="E471" s="7" t="s">
        <v>1124</v>
      </c>
      <c r="F471" s="7"/>
      <c r="G471" s="10" t="n">
        <v>0</v>
      </c>
      <c r="H471" s="11" t="n">
        <v>-0.06</v>
      </c>
      <c r="I471" s="11" t="n">
        <v>-0.32</v>
      </c>
      <c r="J471" s="11" t="n">
        <v>-0.32</v>
      </c>
      <c r="K471" s="11" t="n">
        <v>2.96</v>
      </c>
      <c r="L471" s="11" t="n">
        <v>2.02</v>
      </c>
      <c r="M471" s="11" t="n">
        <v>2.47</v>
      </c>
      <c r="N471" s="12" t="n">
        <v>11.576502</v>
      </c>
    </row>
    <row r="472" customFormat="false" ht="15" hidden="false" customHeight="false" outlineLevel="0" collapsed="false">
      <c r="A472" s="7" t="s">
        <v>1126</v>
      </c>
      <c r="B472" s="7" t="s">
        <v>1164</v>
      </c>
      <c r="C472" s="7" t="s">
        <v>1136</v>
      </c>
      <c r="D472" s="7" t="s">
        <v>1118</v>
      </c>
      <c r="E472" s="7" t="s">
        <v>1124</v>
      </c>
      <c r="F472" s="7"/>
      <c r="G472" s="10" t="n">
        <v>0</v>
      </c>
      <c r="H472" s="11" t="n">
        <v>-0.29</v>
      </c>
      <c r="I472" s="11" t="n">
        <v>-0.15</v>
      </c>
      <c r="J472" s="11" t="n">
        <v>-0.15</v>
      </c>
      <c r="K472" s="11" t="n">
        <v>6.11</v>
      </c>
      <c r="L472" s="11" t="n">
        <v>5.69</v>
      </c>
      <c r="M472" s="11" t="n">
        <v>7.89</v>
      </c>
      <c r="N472" s="12" t="n">
        <v>12.644186</v>
      </c>
    </row>
    <row r="473" customFormat="false" ht="15" hidden="false" customHeight="false" outlineLevel="0" collapsed="false">
      <c r="A473" s="7" t="s">
        <v>1127</v>
      </c>
      <c r="B473" s="7" t="s">
        <v>1164</v>
      </c>
      <c r="C473" s="7" t="s">
        <v>1136</v>
      </c>
      <c r="D473" s="7" t="s">
        <v>1118</v>
      </c>
      <c r="E473" s="7" t="s">
        <v>1124</v>
      </c>
      <c r="F473" s="7"/>
      <c r="G473" s="10" t="n">
        <v>0</v>
      </c>
      <c r="H473" s="11" t="n">
        <v>-0.41</v>
      </c>
      <c r="I473" s="11" t="n">
        <v>-0.04</v>
      </c>
      <c r="J473" s="11" t="n">
        <v>-0.04</v>
      </c>
      <c r="K473" s="11" t="n">
        <v>8.25</v>
      </c>
      <c r="L473" s="11" t="n">
        <v>8.14</v>
      </c>
      <c r="M473" s="11" t="n">
        <v>12.04</v>
      </c>
      <c r="N473" s="12" t="n">
        <v>13.574545</v>
      </c>
    </row>
    <row r="474" customFormat="false" ht="15" hidden="false" customHeight="false" outlineLevel="0" collapsed="false">
      <c r="A474" s="7" t="s">
        <v>1123</v>
      </c>
      <c r="B474" s="7" t="s">
        <v>1164</v>
      </c>
      <c r="C474" s="7" t="s">
        <v>1136</v>
      </c>
      <c r="D474" s="7" t="s">
        <v>1118</v>
      </c>
      <c r="E474" s="7" t="s">
        <v>1124</v>
      </c>
      <c r="F474" s="7"/>
      <c r="G474" s="10" t="n">
        <v>0</v>
      </c>
      <c r="H474" s="11" t="n">
        <v>0.02</v>
      </c>
      <c r="I474" s="11" t="n">
        <v>0.12</v>
      </c>
      <c r="J474" s="11" t="n">
        <v>0.12</v>
      </c>
      <c r="K474" s="11" t="n">
        <v>2.29</v>
      </c>
      <c r="L474" s="11" t="n">
        <v>3.19</v>
      </c>
      <c r="M474" s="11" t="n">
        <v>7.2</v>
      </c>
      <c r="N474" s="12" t="n">
        <v>0.603316</v>
      </c>
    </row>
    <row r="475" customFormat="false" ht="15" hidden="false" customHeight="false" outlineLevel="0" collapsed="false">
      <c r="A475" s="7" t="s">
        <v>1125</v>
      </c>
      <c r="B475" s="7" t="s">
        <v>1164</v>
      </c>
      <c r="C475" s="7" t="s">
        <v>1136</v>
      </c>
      <c r="D475" s="7" t="s">
        <v>1118</v>
      </c>
      <c r="E475" s="7" t="s">
        <v>1124</v>
      </c>
      <c r="F475" s="7"/>
      <c r="G475" s="10" t="n">
        <v>0</v>
      </c>
      <c r="H475" s="11" t="n">
        <v>-0.12</v>
      </c>
      <c r="I475" s="11" t="n">
        <v>0.22</v>
      </c>
      <c r="J475" s="11" t="n">
        <v>0.22</v>
      </c>
      <c r="K475" s="11" t="n">
        <v>3.1</v>
      </c>
      <c r="L475" s="11" t="n">
        <v>4.35</v>
      </c>
      <c r="M475" s="11" t="n">
        <v>10</v>
      </c>
      <c r="N475" s="12" t="n">
        <v>0.644123</v>
      </c>
    </row>
    <row r="476" customFormat="false" ht="15" hidden="false" customHeight="false" outlineLevel="0" collapsed="false">
      <c r="A476" s="7" t="s">
        <v>1126</v>
      </c>
      <c r="B476" s="7" t="s">
        <v>1164</v>
      </c>
      <c r="C476" s="7" t="s">
        <v>1136</v>
      </c>
      <c r="D476" s="7" t="s">
        <v>1118</v>
      </c>
      <c r="E476" s="7" t="s">
        <v>1124</v>
      </c>
      <c r="F476" s="7"/>
      <c r="G476" s="10" t="n">
        <v>0</v>
      </c>
      <c r="H476" s="11" t="n">
        <v>-0.36</v>
      </c>
      <c r="I476" s="11" t="n">
        <v>0.39</v>
      </c>
      <c r="J476" s="11" t="n">
        <v>0.39</v>
      </c>
      <c r="K476" s="11" t="n">
        <v>6.25</v>
      </c>
      <c r="L476" s="11" t="n">
        <v>8.1</v>
      </c>
      <c r="M476" s="11" t="n">
        <v>15.81</v>
      </c>
      <c r="N476" s="12" t="n">
        <v>0.70353</v>
      </c>
    </row>
    <row r="477" customFormat="false" ht="15" hidden="false" customHeight="false" outlineLevel="0" collapsed="false">
      <c r="A477" s="7" t="s">
        <v>1127</v>
      </c>
      <c r="B477" s="7" t="s">
        <v>1164</v>
      </c>
      <c r="C477" s="7" t="s">
        <v>1136</v>
      </c>
      <c r="D477" s="7" t="s">
        <v>1118</v>
      </c>
      <c r="E477" s="7" t="s">
        <v>1124</v>
      </c>
      <c r="F477" s="7"/>
      <c r="G477" s="10" t="n">
        <v>0</v>
      </c>
      <c r="H477" s="11" t="n">
        <v>-0.47</v>
      </c>
      <c r="I477" s="11" t="n">
        <v>0.5</v>
      </c>
      <c r="J477" s="11" t="n">
        <v>0.5</v>
      </c>
      <c r="K477" s="11" t="n">
        <v>8.4</v>
      </c>
      <c r="L477" s="11" t="n">
        <v>10.61</v>
      </c>
      <c r="M477" s="11" t="n">
        <v>20.27</v>
      </c>
      <c r="N477" s="12" t="n">
        <v>0.755295</v>
      </c>
    </row>
    <row r="478" customFormat="false" ht="15" hidden="false" customHeight="false" outlineLevel="0" collapsed="false">
      <c r="A478" s="7" t="s">
        <v>1128</v>
      </c>
      <c r="B478" s="7" t="s">
        <v>1164</v>
      </c>
      <c r="C478" s="7" t="s">
        <v>1136</v>
      </c>
      <c r="D478" s="7" t="s">
        <v>1129</v>
      </c>
      <c r="E478" s="7" t="s">
        <v>1124</v>
      </c>
      <c r="F478" s="7"/>
      <c r="G478" s="10" t="n">
        <v>0</v>
      </c>
      <c r="H478" s="11" t="n">
        <v>-0.43</v>
      </c>
      <c r="I478" s="11" t="n">
        <v>0.33</v>
      </c>
      <c r="J478" s="11" t="n">
        <v>0.33</v>
      </c>
      <c r="K478" s="11" t="n">
        <v>4.93</v>
      </c>
      <c r="L478" s="11" t="n">
        <v>7.53</v>
      </c>
      <c r="M478" s="11" t="n">
        <v>19.47</v>
      </c>
      <c r="N478" s="12" t="n">
        <v>13.890912</v>
      </c>
    </row>
    <row r="479" customFormat="false" ht="15" hidden="false" customHeight="false" outlineLevel="0" collapsed="false">
      <c r="A479" s="7" t="s">
        <v>1130</v>
      </c>
      <c r="B479" s="7" t="s">
        <v>1164</v>
      </c>
      <c r="C479" s="7" t="s">
        <v>1136</v>
      </c>
      <c r="D479" s="7" t="s">
        <v>1129</v>
      </c>
      <c r="E479" s="7" t="s">
        <v>1124</v>
      </c>
      <c r="F479" s="7"/>
      <c r="G479" s="10" t="n">
        <v>0</v>
      </c>
      <c r="H479" s="11" t="n">
        <v>-0.75</v>
      </c>
      <c r="I479" s="11" t="n">
        <v>0.37</v>
      </c>
      <c r="J479" s="11" t="n">
        <v>0.37</v>
      </c>
      <c r="K479" s="11" t="n">
        <v>11.21</v>
      </c>
      <c r="L479" s="11" t="n">
        <v>15.01</v>
      </c>
      <c r="M479" s="11" t="n">
        <v>28.96</v>
      </c>
      <c r="N479" s="12" t="n">
        <v>25.738141</v>
      </c>
    </row>
    <row r="480" customFormat="false" ht="15" hidden="false" customHeight="false" outlineLevel="0" collapsed="false">
      <c r="A480" s="7" t="s">
        <v>1131</v>
      </c>
      <c r="B480" s="7" t="s">
        <v>1164</v>
      </c>
      <c r="C480" s="7" t="s">
        <v>1136</v>
      </c>
      <c r="D480" s="7" t="s">
        <v>1129</v>
      </c>
      <c r="E480" s="7" t="s">
        <v>1124</v>
      </c>
      <c r="F480" s="7"/>
      <c r="G480" s="10" t="n">
        <v>0</v>
      </c>
      <c r="H480" s="11" t="n">
        <v>-0.86</v>
      </c>
      <c r="I480" s="11" t="n">
        <v>0.37</v>
      </c>
      <c r="J480" s="11" t="n">
        <v>0.37</v>
      </c>
      <c r="K480" s="11" t="n">
        <v>12.8</v>
      </c>
      <c r="L480" s="11" t="n">
        <v>17.12</v>
      </c>
      <c r="M480" s="11" t="n">
        <v>33.32</v>
      </c>
      <c r="N480" s="12" t="n">
        <v>15.071228</v>
      </c>
    </row>
    <row r="481" customFormat="false" ht="15" hidden="false" customHeight="false" outlineLevel="0" collapsed="false">
      <c r="A481" s="7" t="s">
        <v>1132</v>
      </c>
      <c r="B481" s="7" t="s">
        <v>1164</v>
      </c>
      <c r="C481" s="7" t="s">
        <v>1136</v>
      </c>
      <c r="D481" s="7" t="s">
        <v>1129</v>
      </c>
      <c r="E481" s="7" t="s">
        <v>1124</v>
      </c>
      <c r="F481" s="7"/>
      <c r="G481" s="10" t="n">
        <v>0</v>
      </c>
      <c r="H481" s="11" t="n">
        <v>-0.45</v>
      </c>
      <c r="I481" s="11" t="n">
        <v>-0.45</v>
      </c>
      <c r="J481" s="11" t="n">
        <v>-0.45</v>
      </c>
      <c r="K481" s="11" t="n">
        <v>-0.95</v>
      </c>
      <c r="L481" s="11" t="n">
        <v>-2.12</v>
      </c>
      <c r="M481" s="11" t="n">
        <v>-1.53</v>
      </c>
      <c r="N481" s="12" t="n">
        <v>10.38806</v>
      </c>
    </row>
    <row r="482" customFormat="false" ht="15" hidden="false" customHeight="false" outlineLevel="0" collapsed="false">
      <c r="A482" s="7" t="s">
        <v>1133</v>
      </c>
      <c r="B482" s="7" t="s">
        <v>1164</v>
      </c>
      <c r="C482" s="7" t="s">
        <v>1136</v>
      </c>
      <c r="D482" s="7" t="s">
        <v>1129</v>
      </c>
      <c r="E482" s="7" t="s">
        <v>1124</v>
      </c>
      <c r="F482" s="7"/>
      <c r="G482" s="10" t="n">
        <v>0</v>
      </c>
      <c r="H482" s="11" t="n">
        <v>-0.49</v>
      </c>
      <c r="I482" s="11" t="n">
        <v>-0.18</v>
      </c>
      <c r="J482" s="11" t="n">
        <v>-0.18</v>
      </c>
      <c r="K482" s="11" t="n">
        <v>2.24</v>
      </c>
      <c r="L482" s="11" t="n">
        <v>1.32</v>
      </c>
      <c r="M482" s="11" t="n">
        <v>4.64</v>
      </c>
      <c r="N482" s="12" t="n">
        <v>11.546531</v>
      </c>
    </row>
    <row r="483" customFormat="false" ht="15" hidden="false" customHeight="false" outlineLevel="0" collapsed="false">
      <c r="A483" s="7" t="s">
        <v>1134</v>
      </c>
      <c r="B483" s="7" t="s">
        <v>1164</v>
      </c>
      <c r="C483" s="7" t="s">
        <v>1136</v>
      </c>
      <c r="D483" s="7" t="s">
        <v>1129</v>
      </c>
      <c r="E483" s="7" t="s">
        <v>1124</v>
      </c>
      <c r="F483" s="7"/>
      <c r="G483" s="10" t="n">
        <v>0</v>
      </c>
      <c r="H483" s="11" t="n">
        <v>-0.51</v>
      </c>
      <c r="I483" s="11" t="n">
        <v>-0.33</v>
      </c>
      <c r="J483" s="11" t="n">
        <v>-0.33</v>
      </c>
      <c r="K483" s="11" t="n">
        <v>5.81</v>
      </c>
      <c r="L483" s="11" t="n">
        <v>5.98</v>
      </c>
      <c r="M483" s="11" t="n">
        <v>10.98</v>
      </c>
      <c r="N483" s="12" t="n">
        <v>36.015325</v>
      </c>
    </row>
    <row r="484" customFormat="false" ht="15" hidden="false" customHeight="false" outlineLevel="0" collapsed="false">
      <c r="A484" s="7" t="s">
        <v>1132</v>
      </c>
      <c r="B484" s="7" t="s">
        <v>1164</v>
      </c>
      <c r="C484" s="7" t="s">
        <v>1136</v>
      </c>
      <c r="D484" s="7" t="s">
        <v>1129</v>
      </c>
      <c r="E484" s="7" t="s">
        <v>1129</v>
      </c>
      <c r="F484" s="7"/>
      <c r="G484" s="10" t="n">
        <v>0</v>
      </c>
      <c r="H484" s="11" t="n">
        <v>-0.51</v>
      </c>
      <c r="I484" s="11" t="n">
        <v>0.08</v>
      </c>
      <c r="J484" s="11" t="n">
        <v>0.08</v>
      </c>
      <c r="K484" s="11" t="n">
        <v>-0.82</v>
      </c>
      <c r="L484" s="11" t="n">
        <v>0.12</v>
      </c>
      <c r="M484" s="11" t="n">
        <v>5.7</v>
      </c>
      <c r="N484" s="12" t="n">
        <v>0.577997</v>
      </c>
    </row>
    <row r="485" customFormat="false" ht="15" hidden="false" customHeight="false" outlineLevel="0" collapsed="false">
      <c r="A485" s="7" t="s">
        <v>1133</v>
      </c>
      <c r="B485" s="7" t="s">
        <v>1164</v>
      </c>
      <c r="C485" s="7" t="s">
        <v>1136</v>
      </c>
      <c r="D485" s="7" t="s">
        <v>1129</v>
      </c>
      <c r="E485" s="7" t="s">
        <v>1129</v>
      </c>
      <c r="F485" s="7"/>
      <c r="G485" s="10" t="n">
        <v>0</v>
      </c>
      <c r="H485" s="11" t="n">
        <v>-0.55</v>
      </c>
      <c r="I485" s="11" t="n">
        <v>0.36</v>
      </c>
      <c r="J485" s="11" t="n">
        <v>0.36</v>
      </c>
      <c r="K485" s="11" t="n">
        <v>2.38</v>
      </c>
      <c r="L485" s="11" t="n">
        <v>3.63</v>
      </c>
      <c r="M485" s="11" t="n">
        <v>12.33</v>
      </c>
      <c r="N485" s="12" t="n">
        <v>0.642455</v>
      </c>
    </row>
  </sheetData>
  <autoFilter ref="A1:N48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10"/>
    <col collapsed="false" customWidth="true" hidden="false" outlineLevel="0" max="4" min="4" style="0" width="14"/>
    <col collapsed="false" customWidth="true" hidden="false" outlineLevel="0" max="5" min="5" style="0" width="15"/>
    <col collapsed="false" customWidth="true" hidden="false" outlineLevel="0" max="6" min="6" style="0" width="13"/>
    <col collapsed="false" customWidth="true" hidden="false" outlineLevel="0" max="7" min="7" style="0" width="8"/>
    <col collapsed="false" customWidth="true" hidden="false" outlineLevel="0" max="8" min="8" style="0" width="22"/>
    <col collapsed="false" customWidth="true" hidden="false" outlineLevel="0" max="9" min="9" style="0" width="17"/>
    <col collapsed="false" customWidth="true" hidden="false" outlineLevel="0" max="10" min="10" style="0" width="25"/>
    <col collapsed="false" customWidth="true" hidden="false" outlineLevel="0" max="11" min="11" style="0" width="17"/>
  </cols>
  <sheetData>
    <row r="1" customFormat="false" ht="35.05" hidden="false" customHeight="false" outlineLevel="0" collapsed="false">
      <c r="A1" s="6" t="s">
        <v>1165</v>
      </c>
      <c r="B1" s="6" t="s">
        <v>1166</v>
      </c>
      <c r="C1" s="6" t="s">
        <v>1167</v>
      </c>
      <c r="D1" s="6" t="s">
        <v>1168</v>
      </c>
      <c r="E1" s="6" t="s">
        <v>1169</v>
      </c>
      <c r="F1" s="6" t="s">
        <v>1170</v>
      </c>
      <c r="G1" s="6" t="s">
        <v>1171</v>
      </c>
      <c r="H1" s="6" t="s">
        <v>1172</v>
      </c>
      <c r="I1" s="6" t="s">
        <v>1173</v>
      </c>
      <c r="J1" s="6" t="s">
        <v>32</v>
      </c>
      <c r="K1" s="6" t="s">
        <v>1174</v>
      </c>
    </row>
    <row r="2" customFormat="false" ht="15" hidden="false" customHeight="false" outlineLevel="0" collapsed="false">
      <c r="A2" s="7" t="s">
        <v>1175</v>
      </c>
      <c r="B2" s="7" t="s">
        <v>1176</v>
      </c>
      <c r="C2" s="7" t="s">
        <v>1177</v>
      </c>
      <c r="D2" s="7" t="s">
        <v>1178</v>
      </c>
      <c r="E2" s="10" t="n">
        <v>11858000</v>
      </c>
      <c r="F2" s="7" t="s">
        <v>1114</v>
      </c>
      <c r="G2" s="7" t="s">
        <v>1056</v>
      </c>
      <c r="H2" s="7" t="s">
        <v>1113</v>
      </c>
      <c r="I2" s="11" t="n">
        <v>11.93</v>
      </c>
      <c r="J2" s="7" t="s">
        <v>56</v>
      </c>
      <c r="K2" s="7" t="n">
        <v>6</v>
      </c>
    </row>
    <row r="3" customFormat="false" ht="15" hidden="false" customHeight="false" outlineLevel="0" collapsed="false">
      <c r="A3" s="7" t="s">
        <v>1179</v>
      </c>
      <c r="B3" s="7" t="s">
        <v>1180</v>
      </c>
      <c r="C3" s="7" t="s">
        <v>1181</v>
      </c>
      <c r="D3" s="7" t="s">
        <v>1178</v>
      </c>
      <c r="E3" s="10" t="n">
        <v>9732000</v>
      </c>
      <c r="F3" s="7" t="s">
        <v>1074</v>
      </c>
      <c r="G3" s="7" t="s">
        <v>1066</v>
      </c>
      <c r="H3" s="7" t="s">
        <v>1073</v>
      </c>
      <c r="I3" s="11" t="n">
        <v>5.92</v>
      </c>
      <c r="J3" s="7" t="s">
        <v>56</v>
      </c>
      <c r="K3" s="7" t="n">
        <v>1</v>
      </c>
    </row>
    <row r="4" customFormat="false" ht="15" hidden="false" customHeight="false" outlineLevel="0" collapsed="false">
      <c r="A4" s="7" t="s">
        <v>1182</v>
      </c>
      <c r="B4" s="7" t="s">
        <v>1183</v>
      </c>
      <c r="C4" s="7" t="s">
        <v>1177</v>
      </c>
      <c r="D4" s="7" t="s">
        <v>1184</v>
      </c>
      <c r="E4" s="10" t="n">
        <v>13840000</v>
      </c>
      <c r="F4" s="7" t="s">
        <v>1072</v>
      </c>
      <c r="G4" s="7" t="s">
        <v>1056</v>
      </c>
      <c r="H4" s="7" t="s">
        <v>1073</v>
      </c>
      <c r="I4" s="11" t="n">
        <v>4.63</v>
      </c>
      <c r="J4" s="7" t="s">
        <v>56</v>
      </c>
      <c r="K4" s="7" t="n">
        <v>6</v>
      </c>
    </row>
    <row r="5" customFormat="false" ht="15" hidden="false" customHeight="false" outlineLevel="0" collapsed="false">
      <c r="A5" s="7" t="s">
        <v>1185</v>
      </c>
      <c r="B5" s="7" t="s">
        <v>1186</v>
      </c>
      <c r="C5" s="7" t="s">
        <v>1177</v>
      </c>
      <c r="D5" s="7" t="s">
        <v>1178</v>
      </c>
      <c r="E5" s="10" t="n">
        <v>8829000</v>
      </c>
      <c r="F5" s="7" t="s">
        <v>1132</v>
      </c>
      <c r="G5" s="7" t="s">
        <v>1056</v>
      </c>
      <c r="H5" s="7" t="s">
        <v>1129</v>
      </c>
      <c r="I5" s="11" t="n">
        <v>-1.78</v>
      </c>
      <c r="J5" s="7" t="s">
        <v>56</v>
      </c>
      <c r="K5" s="7" t="n">
        <v>0</v>
      </c>
    </row>
    <row r="6" customFormat="false" ht="15" hidden="false" customHeight="false" outlineLevel="0" collapsed="false">
      <c r="A6" s="7" t="s">
        <v>1187</v>
      </c>
      <c r="B6" s="7" t="s">
        <v>1188</v>
      </c>
      <c r="C6" s="7" t="s">
        <v>1177</v>
      </c>
      <c r="D6" s="7" t="s">
        <v>1178</v>
      </c>
      <c r="E6" s="10" t="n">
        <v>13805000</v>
      </c>
      <c r="F6" s="7" t="s">
        <v>1059</v>
      </c>
      <c r="G6" s="7" t="s">
        <v>1056</v>
      </c>
      <c r="H6" s="7" t="s">
        <v>56</v>
      </c>
      <c r="I6" s="11" t="n">
        <v>4.76</v>
      </c>
      <c r="J6" s="7" t="s">
        <v>56</v>
      </c>
      <c r="K6" s="7" t="n">
        <v>8</v>
      </c>
    </row>
    <row r="7" customFormat="false" ht="15" hidden="false" customHeight="false" outlineLevel="0" collapsed="false">
      <c r="A7" s="7" t="s">
        <v>1189</v>
      </c>
      <c r="B7" s="7" t="s">
        <v>1190</v>
      </c>
      <c r="C7" s="7" t="s">
        <v>1177</v>
      </c>
      <c r="D7" s="7" t="s">
        <v>1178</v>
      </c>
      <c r="E7" s="10" t="n">
        <v>13226000</v>
      </c>
      <c r="F7" s="7" t="s">
        <v>1074</v>
      </c>
      <c r="G7" s="7" t="s">
        <v>1047</v>
      </c>
      <c r="H7" s="7" t="s">
        <v>1073</v>
      </c>
      <c r="I7" s="11" t="n">
        <v>5.86</v>
      </c>
      <c r="J7" s="7" t="s">
        <v>56</v>
      </c>
      <c r="K7" s="7" t="n">
        <v>8</v>
      </c>
    </row>
    <row r="8" customFormat="false" ht="15" hidden="false" customHeight="false" outlineLevel="0" collapsed="false">
      <c r="A8" s="7" t="s">
        <v>1191</v>
      </c>
      <c r="B8" s="7" t="s">
        <v>1192</v>
      </c>
      <c r="C8" s="7" t="s">
        <v>1181</v>
      </c>
      <c r="D8" s="7" t="s">
        <v>1193</v>
      </c>
      <c r="E8" s="10" t="n">
        <v>9479000</v>
      </c>
      <c r="F8" s="7" t="s">
        <v>1132</v>
      </c>
      <c r="G8" s="7" t="s">
        <v>1056</v>
      </c>
      <c r="H8" s="7" t="s">
        <v>1129</v>
      </c>
      <c r="I8" s="11" t="n">
        <v>-1.78</v>
      </c>
      <c r="J8" s="7" t="s">
        <v>56</v>
      </c>
      <c r="K8" s="7" t="n">
        <v>0</v>
      </c>
    </row>
    <row r="9" customFormat="false" ht="15" hidden="false" customHeight="false" outlineLevel="0" collapsed="false">
      <c r="A9" s="7" t="s">
        <v>1194</v>
      </c>
      <c r="B9" s="7" t="s">
        <v>1195</v>
      </c>
      <c r="C9" s="7" t="s">
        <v>1181</v>
      </c>
      <c r="D9" s="7" t="s">
        <v>1178</v>
      </c>
      <c r="E9" s="10" t="n">
        <v>19096000</v>
      </c>
      <c r="F9" s="7" t="s">
        <v>1133</v>
      </c>
      <c r="G9" s="7" t="s">
        <v>1056</v>
      </c>
      <c r="H9" s="7" t="s">
        <v>1129</v>
      </c>
      <c r="I9" s="11" t="n">
        <v>1.55</v>
      </c>
      <c r="J9" s="7" t="s">
        <v>56</v>
      </c>
      <c r="K9" s="7" t="n">
        <v>0</v>
      </c>
    </row>
    <row r="10" customFormat="false" ht="15" hidden="false" customHeight="false" outlineLevel="0" collapsed="false">
      <c r="A10" s="7" t="s">
        <v>1196</v>
      </c>
      <c r="B10" s="7" t="s">
        <v>1197</v>
      </c>
      <c r="C10" s="7" t="s">
        <v>1177</v>
      </c>
      <c r="D10" s="7" t="s">
        <v>1184</v>
      </c>
      <c r="E10" s="10" t="n">
        <v>11177000</v>
      </c>
      <c r="F10" s="7" t="s">
        <v>1074</v>
      </c>
      <c r="G10" s="7" t="s">
        <v>1047</v>
      </c>
      <c r="H10" s="7" t="s">
        <v>1073</v>
      </c>
      <c r="I10" s="11" t="n">
        <v>5.86</v>
      </c>
      <c r="J10" s="7" t="s">
        <v>56</v>
      </c>
      <c r="K10" s="7" t="n">
        <v>5</v>
      </c>
    </row>
    <row r="11" customFormat="false" ht="15" hidden="false" customHeight="false" outlineLevel="0" collapsed="false">
      <c r="A11" s="7" t="s">
        <v>1198</v>
      </c>
      <c r="B11" s="7" t="s">
        <v>1199</v>
      </c>
      <c r="C11" s="7" t="s">
        <v>1181</v>
      </c>
      <c r="D11" s="7" t="s">
        <v>1184</v>
      </c>
      <c r="E11" s="10" t="n">
        <v>8645000</v>
      </c>
      <c r="F11" s="7" t="s">
        <v>1059</v>
      </c>
      <c r="G11" s="7" t="s">
        <v>1047</v>
      </c>
      <c r="H11" s="7" t="s">
        <v>56</v>
      </c>
      <c r="I11" s="11" t="n">
        <v>4.54</v>
      </c>
      <c r="J11" s="7" t="s">
        <v>56</v>
      </c>
      <c r="K11" s="7" t="n">
        <v>11</v>
      </c>
    </row>
    <row r="12" customFormat="false" ht="15" hidden="false" customHeight="false" outlineLevel="0" collapsed="false">
      <c r="A12" s="7" t="s">
        <v>1200</v>
      </c>
      <c r="B12" s="7" t="s">
        <v>1201</v>
      </c>
      <c r="C12" s="7" t="s">
        <v>1181</v>
      </c>
      <c r="D12" s="7" t="s">
        <v>1184</v>
      </c>
      <c r="E12" s="10" t="n">
        <v>17665000</v>
      </c>
      <c r="F12" s="7" t="s">
        <v>1072</v>
      </c>
      <c r="G12" s="7" t="s">
        <v>1056</v>
      </c>
      <c r="H12" s="7" t="s">
        <v>1073</v>
      </c>
      <c r="I12" s="11" t="n">
        <v>4.63</v>
      </c>
      <c r="J12" s="7" t="s">
        <v>56</v>
      </c>
      <c r="K12" s="7" t="n">
        <v>1</v>
      </c>
    </row>
    <row r="13" customFormat="false" ht="15" hidden="false" customHeight="false" outlineLevel="0" collapsed="false">
      <c r="A13" s="7" t="s">
        <v>1202</v>
      </c>
      <c r="B13" s="7" t="s">
        <v>1203</v>
      </c>
      <c r="C13" s="7" t="s">
        <v>1181</v>
      </c>
      <c r="D13" s="7" t="s">
        <v>1193</v>
      </c>
      <c r="E13" s="10" t="n">
        <v>17334000</v>
      </c>
      <c r="F13" s="7" t="s">
        <v>1078</v>
      </c>
      <c r="G13" s="7" t="s">
        <v>1055</v>
      </c>
      <c r="H13" s="7" t="s">
        <v>41</v>
      </c>
      <c r="I13" s="11" t="n">
        <v>4.28</v>
      </c>
      <c r="J13" s="7" t="s">
        <v>41</v>
      </c>
      <c r="K13" s="7" t="n">
        <v>8</v>
      </c>
    </row>
    <row r="14" customFormat="false" ht="15" hidden="false" customHeight="false" outlineLevel="0" collapsed="false">
      <c r="A14" s="7" t="s">
        <v>1204</v>
      </c>
      <c r="B14" s="7" t="s">
        <v>1205</v>
      </c>
      <c r="C14" s="7" t="s">
        <v>1177</v>
      </c>
      <c r="D14" s="7" t="s">
        <v>1184</v>
      </c>
      <c r="E14" s="10" t="n">
        <v>6144000</v>
      </c>
      <c r="F14" s="7" t="s">
        <v>1085</v>
      </c>
      <c r="G14" s="7" t="s">
        <v>1056</v>
      </c>
      <c r="H14" s="7" t="s">
        <v>1086</v>
      </c>
      <c r="I14" s="11" t="n">
        <v>5.11</v>
      </c>
      <c r="J14" s="7" t="s">
        <v>41</v>
      </c>
      <c r="K14" s="7" t="n">
        <v>10</v>
      </c>
    </row>
    <row r="15" customFormat="false" ht="15" hidden="false" customHeight="false" outlineLevel="0" collapsed="false">
      <c r="A15" s="7" t="s">
        <v>1206</v>
      </c>
      <c r="B15" s="7" t="s">
        <v>1207</v>
      </c>
      <c r="C15" s="7" t="s">
        <v>1181</v>
      </c>
      <c r="D15" s="7" t="s">
        <v>1184</v>
      </c>
      <c r="E15" s="10" t="n">
        <v>13626000</v>
      </c>
      <c r="F15" s="7" t="s">
        <v>1074</v>
      </c>
      <c r="G15" s="7" t="s">
        <v>1068</v>
      </c>
      <c r="H15" s="7" t="s">
        <v>1073</v>
      </c>
      <c r="I15" s="11" t="n">
        <v>6.24</v>
      </c>
      <c r="J15" s="7" t="s">
        <v>56</v>
      </c>
      <c r="K15" s="7" t="n">
        <v>7</v>
      </c>
    </row>
    <row r="16" customFormat="false" ht="15" hidden="false" customHeight="false" outlineLevel="0" collapsed="false">
      <c r="A16" s="7" t="s">
        <v>1208</v>
      </c>
      <c r="B16" s="7" t="s">
        <v>1209</v>
      </c>
      <c r="C16" s="7" t="s">
        <v>1177</v>
      </c>
      <c r="D16" s="7" t="s">
        <v>1193</v>
      </c>
      <c r="E16" s="10" t="n">
        <v>10297000</v>
      </c>
      <c r="F16" s="7" t="s">
        <v>1107</v>
      </c>
      <c r="G16" s="7" t="s">
        <v>1055</v>
      </c>
      <c r="H16" s="7" t="s">
        <v>91</v>
      </c>
      <c r="I16" s="11" t="n">
        <v>9.41</v>
      </c>
      <c r="J16" s="7" t="s">
        <v>91</v>
      </c>
      <c r="K16" s="7" t="n">
        <v>10</v>
      </c>
    </row>
    <row r="17" customFormat="false" ht="15" hidden="false" customHeight="false" outlineLevel="0" collapsed="false">
      <c r="A17" s="7" t="s">
        <v>1210</v>
      </c>
      <c r="B17" s="7" t="s">
        <v>1211</v>
      </c>
      <c r="C17" s="7" t="s">
        <v>1181</v>
      </c>
      <c r="D17" s="7" t="s">
        <v>1184</v>
      </c>
      <c r="E17" s="10" t="n">
        <v>9335000</v>
      </c>
      <c r="F17" s="7" t="s">
        <v>1085</v>
      </c>
      <c r="G17" s="7" t="s">
        <v>1056</v>
      </c>
      <c r="H17" s="7" t="s">
        <v>1086</v>
      </c>
      <c r="I17" s="11" t="n">
        <v>5.11</v>
      </c>
      <c r="J17" s="7" t="s">
        <v>41</v>
      </c>
      <c r="K17" s="7" t="n">
        <v>4</v>
      </c>
    </row>
    <row r="18" customFormat="false" ht="15" hidden="false" customHeight="false" outlineLevel="0" collapsed="false">
      <c r="A18" s="7" t="s">
        <v>1212</v>
      </c>
      <c r="B18" s="7" t="s">
        <v>1213</v>
      </c>
      <c r="C18" s="7" t="s">
        <v>1177</v>
      </c>
      <c r="D18" s="7" t="s">
        <v>1193</v>
      </c>
      <c r="E18" s="10" t="n">
        <v>14812000</v>
      </c>
      <c r="F18" s="7" t="s">
        <v>1133</v>
      </c>
      <c r="G18" s="7" t="s">
        <v>1056</v>
      </c>
      <c r="H18" s="7" t="s">
        <v>1129</v>
      </c>
      <c r="I18" s="11" t="n">
        <v>1.55</v>
      </c>
      <c r="J18" s="7" t="s">
        <v>56</v>
      </c>
      <c r="K18" s="7" t="n">
        <v>7</v>
      </c>
    </row>
    <row r="19" customFormat="false" ht="15" hidden="false" customHeight="false" outlineLevel="0" collapsed="false">
      <c r="A19" s="7" t="s">
        <v>1214</v>
      </c>
      <c r="B19" s="7" t="s">
        <v>1215</v>
      </c>
      <c r="C19" s="7" t="s">
        <v>1177</v>
      </c>
      <c r="D19" s="7" t="s">
        <v>1178</v>
      </c>
      <c r="E19" s="10" t="n">
        <v>15381000</v>
      </c>
      <c r="F19" s="7" t="s">
        <v>1083</v>
      </c>
      <c r="G19" s="7" t="s">
        <v>1055</v>
      </c>
      <c r="H19" s="7" t="s">
        <v>41</v>
      </c>
      <c r="I19" s="11" t="n">
        <v>3.75</v>
      </c>
      <c r="J19" s="7" t="s">
        <v>41</v>
      </c>
      <c r="K19" s="7" t="n">
        <v>3</v>
      </c>
    </row>
    <row r="20" customFormat="false" ht="15" hidden="false" customHeight="false" outlineLevel="0" collapsed="false">
      <c r="A20" s="7" t="s">
        <v>1216</v>
      </c>
      <c r="B20" s="7" t="s">
        <v>1217</v>
      </c>
      <c r="C20" s="7" t="s">
        <v>1177</v>
      </c>
      <c r="D20" s="7" t="s">
        <v>1178</v>
      </c>
      <c r="E20" s="10" t="n">
        <v>8351000</v>
      </c>
      <c r="F20" s="7" t="s">
        <v>1051</v>
      </c>
      <c r="G20" s="7" t="s">
        <v>1052</v>
      </c>
      <c r="H20" s="7" t="s">
        <v>56</v>
      </c>
      <c r="I20" s="11" t="n">
        <v>4.24</v>
      </c>
      <c r="J20" s="7" t="s">
        <v>56</v>
      </c>
      <c r="K20" s="7" t="n">
        <v>0</v>
      </c>
    </row>
    <row r="21" customFormat="false" ht="15" hidden="false" customHeight="false" outlineLevel="0" collapsed="false">
      <c r="A21" s="7" t="s">
        <v>1218</v>
      </c>
      <c r="B21" s="7" t="s">
        <v>1219</v>
      </c>
      <c r="C21" s="7" t="s">
        <v>1181</v>
      </c>
      <c r="D21" s="7" t="s">
        <v>1178</v>
      </c>
      <c r="E21" s="10" t="n">
        <v>11205000</v>
      </c>
      <c r="F21" s="7" t="s">
        <v>1114</v>
      </c>
      <c r="G21" s="7" t="s">
        <v>1055</v>
      </c>
      <c r="H21" s="7" t="s">
        <v>1113</v>
      </c>
      <c r="I21" s="11" t="n">
        <v>11.6</v>
      </c>
      <c r="J21" s="7" t="s">
        <v>56</v>
      </c>
      <c r="K21" s="7" t="n">
        <v>6</v>
      </c>
    </row>
    <row r="22" customFormat="false" ht="15" hidden="false" customHeight="false" outlineLevel="0" collapsed="false">
      <c r="A22" s="7" t="s">
        <v>1220</v>
      </c>
      <c r="B22" s="7" t="s">
        <v>1221</v>
      </c>
      <c r="C22" s="7" t="s">
        <v>1181</v>
      </c>
      <c r="D22" s="7" t="s">
        <v>1178</v>
      </c>
      <c r="E22" s="10" t="n">
        <v>13031000</v>
      </c>
      <c r="F22" s="7" t="s">
        <v>1074</v>
      </c>
      <c r="G22" s="7" t="s">
        <v>1066</v>
      </c>
      <c r="H22" s="7" t="s">
        <v>1073</v>
      </c>
      <c r="I22" s="11" t="n">
        <v>5.92</v>
      </c>
      <c r="J22" s="7" t="s">
        <v>56</v>
      </c>
      <c r="K22" s="7" t="n">
        <v>9</v>
      </c>
    </row>
    <row r="23" customFormat="false" ht="15" hidden="false" customHeight="false" outlineLevel="0" collapsed="false">
      <c r="A23" s="7" t="s">
        <v>1222</v>
      </c>
      <c r="B23" s="7" t="s">
        <v>1223</v>
      </c>
      <c r="C23" s="7" t="s">
        <v>1177</v>
      </c>
      <c r="D23" s="7" t="s">
        <v>1193</v>
      </c>
      <c r="E23" s="10" t="n">
        <v>12740000</v>
      </c>
      <c r="F23" s="7" t="s">
        <v>1097</v>
      </c>
      <c r="G23" s="7" t="s">
        <v>1056</v>
      </c>
      <c r="H23" s="7" t="s">
        <v>49</v>
      </c>
      <c r="I23" s="11" t="n">
        <v>12.74</v>
      </c>
      <c r="J23" s="7" t="s">
        <v>49</v>
      </c>
      <c r="K23" s="7" t="n">
        <v>5</v>
      </c>
    </row>
    <row r="24" customFormat="false" ht="15" hidden="false" customHeight="false" outlineLevel="0" collapsed="false">
      <c r="A24" s="7" t="s">
        <v>1224</v>
      </c>
      <c r="B24" s="7" t="s">
        <v>1225</v>
      </c>
      <c r="C24" s="7" t="s">
        <v>1177</v>
      </c>
      <c r="D24" s="7" t="s">
        <v>1178</v>
      </c>
      <c r="E24" s="10" t="n">
        <v>8066000</v>
      </c>
      <c r="F24" s="7" t="s">
        <v>1059</v>
      </c>
      <c r="G24" s="7" t="s">
        <v>1056</v>
      </c>
      <c r="H24" s="7" t="s">
        <v>56</v>
      </c>
      <c r="I24" s="11" t="n">
        <v>4.76</v>
      </c>
      <c r="J24" s="7" t="s">
        <v>56</v>
      </c>
      <c r="K24" s="7" t="n">
        <v>7</v>
      </c>
    </row>
    <row r="25" customFormat="false" ht="15" hidden="false" customHeight="false" outlineLevel="0" collapsed="false">
      <c r="A25" s="7" t="s">
        <v>1226</v>
      </c>
      <c r="B25" s="7" t="s">
        <v>1227</v>
      </c>
      <c r="C25" s="7" t="s">
        <v>1177</v>
      </c>
      <c r="D25" s="7" t="s">
        <v>1178</v>
      </c>
      <c r="E25" s="10" t="n">
        <v>6531000</v>
      </c>
      <c r="F25" s="7" t="s">
        <v>1133</v>
      </c>
      <c r="G25" s="7" t="s">
        <v>1055</v>
      </c>
      <c r="H25" s="7" t="s">
        <v>1129</v>
      </c>
      <c r="I25" s="11" t="n">
        <v>1.08</v>
      </c>
      <c r="J25" s="7" t="s">
        <v>56</v>
      </c>
      <c r="K25" s="7" t="n">
        <v>8</v>
      </c>
    </row>
    <row r="26" customFormat="false" ht="15" hidden="false" customHeight="false" outlineLevel="0" collapsed="false">
      <c r="A26" s="7" t="s">
        <v>1228</v>
      </c>
      <c r="B26" s="7" t="s">
        <v>1229</v>
      </c>
      <c r="C26" s="7" t="s">
        <v>1177</v>
      </c>
      <c r="D26" s="7" t="s">
        <v>1178</v>
      </c>
      <c r="E26" s="10" t="n">
        <v>17424000</v>
      </c>
      <c r="F26" s="7" t="s">
        <v>1078</v>
      </c>
      <c r="G26" s="7" t="s">
        <v>1055</v>
      </c>
      <c r="H26" s="7" t="s">
        <v>41</v>
      </c>
      <c r="I26" s="11" t="n">
        <v>4.28</v>
      </c>
      <c r="J26" s="7" t="s">
        <v>41</v>
      </c>
      <c r="K26" s="7" t="n">
        <v>7</v>
      </c>
    </row>
    <row r="27" customFormat="false" ht="15" hidden="false" customHeight="false" outlineLevel="0" collapsed="false">
      <c r="A27" s="7" t="s">
        <v>1230</v>
      </c>
      <c r="B27" s="7" t="s">
        <v>1231</v>
      </c>
      <c r="C27" s="7" t="s">
        <v>1177</v>
      </c>
      <c r="D27" s="7" t="s">
        <v>1178</v>
      </c>
      <c r="E27" s="10" t="n">
        <v>7273000</v>
      </c>
      <c r="F27" s="7" t="s">
        <v>1114</v>
      </c>
      <c r="G27" s="7" t="s">
        <v>1056</v>
      </c>
      <c r="H27" s="7" t="s">
        <v>1113</v>
      </c>
      <c r="I27" s="11" t="n">
        <v>11.93</v>
      </c>
      <c r="J27" s="7" t="s">
        <v>56</v>
      </c>
      <c r="K27" s="7" t="n">
        <v>6</v>
      </c>
    </row>
    <row r="28" customFormat="false" ht="15" hidden="false" customHeight="false" outlineLevel="0" collapsed="false">
      <c r="A28" s="7" t="s">
        <v>1232</v>
      </c>
      <c r="B28" s="7" t="s">
        <v>1233</v>
      </c>
      <c r="C28" s="7" t="s">
        <v>1181</v>
      </c>
      <c r="D28" s="7" t="s">
        <v>1193</v>
      </c>
      <c r="E28" s="10" t="n">
        <v>16101000</v>
      </c>
      <c r="F28" s="7" t="s">
        <v>1083</v>
      </c>
      <c r="G28" s="7" t="s">
        <v>1056</v>
      </c>
      <c r="H28" s="7" t="s">
        <v>41</v>
      </c>
      <c r="I28" s="11" t="n">
        <v>4.44</v>
      </c>
      <c r="J28" s="7" t="s">
        <v>41</v>
      </c>
      <c r="K28" s="7" t="n">
        <v>9</v>
      </c>
    </row>
    <row r="29" customFormat="false" ht="15" hidden="false" customHeight="false" outlineLevel="0" collapsed="false">
      <c r="A29" s="7" t="s">
        <v>1234</v>
      </c>
      <c r="B29" s="7" t="s">
        <v>1235</v>
      </c>
      <c r="C29" s="7" t="s">
        <v>1177</v>
      </c>
      <c r="D29" s="7" t="s">
        <v>1178</v>
      </c>
      <c r="E29" s="10" t="n">
        <v>8435000</v>
      </c>
      <c r="F29" s="7" t="s">
        <v>1074</v>
      </c>
      <c r="G29" s="7" t="s">
        <v>1066</v>
      </c>
      <c r="H29" s="7" t="s">
        <v>1073</v>
      </c>
      <c r="I29" s="11" t="n">
        <v>5.92</v>
      </c>
      <c r="J29" s="7" t="s">
        <v>56</v>
      </c>
      <c r="K29" s="7" t="n">
        <v>5</v>
      </c>
    </row>
    <row r="30" customFormat="false" ht="15" hidden="false" customHeight="false" outlineLevel="0" collapsed="false">
      <c r="A30" s="7" t="s">
        <v>1236</v>
      </c>
      <c r="B30" s="7" t="s">
        <v>1237</v>
      </c>
      <c r="C30" s="7" t="s">
        <v>1177</v>
      </c>
      <c r="D30" s="7" t="s">
        <v>1193</v>
      </c>
      <c r="E30" s="10" t="n">
        <v>16792000</v>
      </c>
      <c r="F30" s="7" t="s">
        <v>1080</v>
      </c>
      <c r="G30" s="7" t="s">
        <v>1056</v>
      </c>
      <c r="H30" s="7" t="s">
        <v>41</v>
      </c>
      <c r="I30" s="11" t="n">
        <v>3.34</v>
      </c>
      <c r="J30" s="7" t="s">
        <v>41</v>
      </c>
      <c r="K30" s="7" t="n">
        <v>9</v>
      </c>
    </row>
    <row r="31" customFormat="false" ht="15" hidden="false" customHeight="false" outlineLevel="0" collapsed="false">
      <c r="A31" s="7" t="s">
        <v>1238</v>
      </c>
      <c r="B31" s="7" t="s">
        <v>1239</v>
      </c>
      <c r="C31" s="7" t="s">
        <v>1181</v>
      </c>
      <c r="D31" s="7" t="s">
        <v>1178</v>
      </c>
      <c r="E31" s="10" t="n">
        <v>13667000</v>
      </c>
      <c r="F31" s="7" t="s">
        <v>1112</v>
      </c>
      <c r="G31" s="7" t="s">
        <v>1056</v>
      </c>
      <c r="H31" s="7" t="s">
        <v>1113</v>
      </c>
      <c r="I31" s="11" t="n">
        <v>4.78</v>
      </c>
      <c r="J31" s="7" t="s">
        <v>56</v>
      </c>
      <c r="K31" s="7" t="n">
        <v>9</v>
      </c>
    </row>
    <row r="32" customFormat="false" ht="15" hidden="false" customHeight="false" outlineLevel="0" collapsed="false">
      <c r="A32" s="7" t="s">
        <v>1240</v>
      </c>
      <c r="B32" s="7" t="s">
        <v>1241</v>
      </c>
      <c r="C32" s="7" t="s">
        <v>1177</v>
      </c>
      <c r="D32" s="7" t="s">
        <v>1184</v>
      </c>
      <c r="E32" s="10" t="n">
        <v>7754000</v>
      </c>
      <c r="F32" s="7" t="s">
        <v>1060</v>
      </c>
      <c r="G32" s="7" t="s">
        <v>1061</v>
      </c>
      <c r="H32" s="7" t="s">
        <v>56</v>
      </c>
      <c r="I32" s="11" t="n">
        <v>4.39</v>
      </c>
      <c r="J32" s="7" t="s">
        <v>56</v>
      </c>
      <c r="K32" s="7" t="n">
        <v>7</v>
      </c>
    </row>
    <row r="33" customFormat="false" ht="15" hidden="false" customHeight="false" outlineLevel="0" collapsed="false">
      <c r="A33" s="7" t="s">
        <v>1242</v>
      </c>
      <c r="B33" s="7" t="s">
        <v>1243</v>
      </c>
      <c r="C33" s="7" t="s">
        <v>1181</v>
      </c>
      <c r="D33" s="7" t="s">
        <v>1178</v>
      </c>
      <c r="E33" s="10" t="n">
        <v>15812000</v>
      </c>
      <c r="F33" s="7" t="s">
        <v>1133</v>
      </c>
      <c r="G33" s="7" t="s">
        <v>1056</v>
      </c>
      <c r="H33" s="7" t="s">
        <v>1129</v>
      </c>
      <c r="I33" s="11" t="n">
        <v>1.55</v>
      </c>
      <c r="J33" s="7" t="s">
        <v>56</v>
      </c>
      <c r="K33" s="7" t="n">
        <v>2</v>
      </c>
    </row>
    <row r="34" customFormat="false" ht="15" hidden="false" customHeight="false" outlineLevel="0" collapsed="false">
      <c r="A34" s="7" t="s">
        <v>1244</v>
      </c>
      <c r="B34" s="7" t="s">
        <v>1245</v>
      </c>
      <c r="C34" s="7" t="s">
        <v>1181</v>
      </c>
      <c r="D34" s="7" t="s">
        <v>1184</v>
      </c>
      <c r="E34" s="10" t="n">
        <v>12675000</v>
      </c>
      <c r="F34" s="7" t="s">
        <v>1085</v>
      </c>
      <c r="G34" s="7" t="s">
        <v>1056</v>
      </c>
      <c r="H34" s="7" t="s">
        <v>1086</v>
      </c>
      <c r="I34" s="11" t="n">
        <v>5.11</v>
      </c>
      <c r="J34" s="7" t="s">
        <v>41</v>
      </c>
      <c r="K34" s="7" t="n">
        <v>4</v>
      </c>
    </row>
    <row r="35" customFormat="false" ht="15" hidden="false" customHeight="false" outlineLevel="0" collapsed="false">
      <c r="A35" s="7" t="s">
        <v>1246</v>
      </c>
      <c r="B35" s="7" t="s">
        <v>1247</v>
      </c>
      <c r="C35" s="7" t="s">
        <v>1181</v>
      </c>
      <c r="D35" s="7" t="s">
        <v>1184</v>
      </c>
      <c r="E35" s="10" t="n">
        <v>15644000</v>
      </c>
      <c r="F35" s="7" t="s">
        <v>1072</v>
      </c>
      <c r="G35" s="7" t="s">
        <v>1055</v>
      </c>
      <c r="H35" s="7" t="s">
        <v>1073</v>
      </c>
      <c r="I35" s="11" t="n">
        <v>4.64</v>
      </c>
      <c r="J35" s="7" t="s">
        <v>56</v>
      </c>
      <c r="K35" s="7" t="n">
        <v>6</v>
      </c>
    </row>
    <row r="36" customFormat="false" ht="15" hidden="false" customHeight="false" outlineLevel="0" collapsed="false">
      <c r="A36" s="7" t="s">
        <v>1248</v>
      </c>
      <c r="B36" s="7" t="s">
        <v>1249</v>
      </c>
      <c r="C36" s="7" t="s">
        <v>1181</v>
      </c>
      <c r="D36" s="7" t="s">
        <v>1184</v>
      </c>
      <c r="E36" s="10" t="n">
        <v>13148000</v>
      </c>
      <c r="F36" s="7" t="s">
        <v>1072</v>
      </c>
      <c r="G36" s="7" t="s">
        <v>1056</v>
      </c>
      <c r="H36" s="7" t="s">
        <v>1073</v>
      </c>
      <c r="I36" s="11" t="n">
        <v>4.63</v>
      </c>
      <c r="J36" s="7" t="s">
        <v>56</v>
      </c>
      <c r="K36" s="7" t="n">
        <v>7</v>
      </c>
    </row>
    <row r="37" customFormat="false" ht="15" hidden="false" customHeight="false" outlineLevel="0" collapsed="false">
      <c r="A37" s="7" t="s">
        <v>1250</v>
      </c>
      <c r="B37" s="7" t="s">
        <v>1251</v>
      </c>
      <c r="C37" s="7" t="s">
        <v>1177</v>
      </c>
      <c r="D37" s="7" t="s">
        <v>1193</v>
      </c>
      <c r="E37" s="10" t="n">
        <v>19476000</v>
      </c>
      <c r="F37" s="7" t="s">
        <v>1078</v>
      </c>
      <c r="G37" s="7" t="s">
        <v>1055</v>
      </c>
      <c r="H37" s="7" t="s">
        <v>41</v>
      </c>
      <c r="I37" s="11" t="n">
        <v>4.28</v>
      </c>
      <c r="J37" s="7" t="s">
        <v>41</v>
      </c>
      <c r="K37" s="7" t="n">
        <v>1</v>
      </c>
    </row>
    <row r="38" customFormat="false" ht="15" hidden="false" customHeight="false" outlineLevel="0" collapsed="false">
      <c r="A38" s="7" t="s">
        <v>1252</v>
      </c>
      <c r="B38" s="7" t="s">
        <v>1253</v>
      </c>
      <c r="C38" s="7" t="s">
        <v>1177</v>
      </c>
      <c r="D38" s="7" t="s">
        <v>1178</v>
      </c>
      <c r="E38" s="10" t="n">
        <v>13702000</v>
      </c>
      <c r="F38" s="7" t="s">
        <v>1074</v>
      </c>
      <c r="G38" s="7" t="s">
        <v>1068</v>
      </c>
      <c r="H38" s="7" t="s">
        <v>1073</v>
      </c>
      <c r="I38" s="11" t="n">
        <v>6.24</v>
      </c>
      <c r="J38" s="7" t="s">
        <v>56</v>
      </c>
      <c r="K38" s="7" t="n">
        <v>10</v>
      </c>
    </row>
    <row r="39" customFormat="false" ht="15" hidden="false" customHeight="false" outlineLevel="0" collapsed="false">
      <c r="A39" s="7" t="s">
        <v>1254</v>
      </c>
      <c r="B39" s="7" t="s">
        <v>1255</v>
      </c>
      <c r="C39" s="7" t="s">
        <v>1177</v>
      </c>
      <c r="D39" s="7" t="s">
        <v>1184</v>
      </c>
      <c r="E39" s="10" t="n">
        <v>12439000</v>
      </c>
      <c r="F39" s="7" t="s">
        <v>1059</v>
      </c>
      <c r="G39" s="7" t="s">
        <v>1056</v>
      </c>
      <c r="H39" s="7" t="s">
        <v>56</v>
      </c>
      <c r="I39" s="11" t="n">
        <v>4.76</v>
      </c>
      <c r="J39" s="7" t="s">
        <v>56</v>
      </c>
      <c r="K39" s="7" t="n">
        <v>8</v>
      </c>
    </row>
    <row r="40" customFormat="false" ht="15" hidden="false" customHeight="false" outlineLevel="0" collapsed="false">
      <c r="A40" s="7" t="s">
        <v>1256</v>
      </c>
      <c r="B40" s="7" t="s">
        <v>1257</v>
      </c>
      <c r="C40" s="7" t="s">
        <v>1181</v>
      </c>
      <c r="D40" s="7" t="s">
        <v>1184</v>
      </c>
      <c r="E40" s="10" t="n">
        <v>6497000</v>
      </c>
      <c r="F40" s="7" t="s">
        <v>1085</v>
      </c>
      <c r="G40" s="7" t="s">
        <v>1056</v>
      </c>
      <c r="H40" s="7" t="s">
        <v>1086</v>
      </c>
      <c r="I40" s="11" t="n">
        <v>5.11</v>
      </c>
      <c r="J40" s="7" t="s">
        <v>41</v>
      </c>
      <c r="K40" s="7" t="n">
        <v>7</v>
      </c>
    </row>
    <row r="41" customFormat="false" ht="15" hidden="false" customHeight="false" outlineLevel="0" collapsed="false">
      <c r="A41" s="7" t="s">
        <v>1258</v>
      </c>
      <c r="B41" s="7" t="s">
        <v>1259</v>
      </c>
      <c r="C41" s="7" t="s">
        <v>1181</v>
      </c>
      <c r="D41" s="7" t="s">
        <v>1184</v>
      </c>
      <c r="E41" s="10" t="n">
        <v>7620000</v>
      </c>
      <c r="F41" s="7" t="s">
        <v>1085</v>
      </c>
      <c r="G41" s="7" t="s">
        <v>1056</v>
      </c>
      <c r="H41" s="7" t="s">
        <v>1086</v>
      </c>
      <c r="I41" s="11" t="n">
        <v>5.11</v>
      </c>
      <c r="J41" s="7" t="s">
        <v>41</v>
      </c>
      <c r="K41" s="7" t="n">
        <v>10</v>
      </c>
    </row>
    <row r="42" customFormat="false" ht="15" hidden="false" customHeight="false" outlineLevel="0" collapsed="false">
      <c r="A42" s="7" t="s">
        <v>1260</v>
      </c>
      <c r="B42" s="7" t="s">
        <v>1261</v>
      </c>
      <c r="C42" s="7" t="s">
        <v>1177</v>
      </c>
      <c r="D42" s="7" t="s">
        <v>1184</v>
      </c>
      <c r="E42" s="10" t="n">
        <v>12267000</v>
      </c>
      <c r="F42" s="7" t="s">
        <v>1054</v>
      </c>
      <c r="G42" s="7" t="s">
        <v>1056</v>
      </c>
      <c r="H42" s="7" t="s">
        <v>56</v>
      </c>
      <c r="I42" s="11" t="n">
        <v>4.57</v>
      </c>
      <c r="J42" s="7" t="s">
        <v>56</v>
      </c>
      <c r="K42" s="7" t="n">
        <v>2</v>
      </c>
    </row>
    <row r="43" customFormat="false" ht="15" hidden="false" customHeight="false" outlineLevel="0" collapsed="false">
      <c r="A43" s="7" t="s">
        <v>1262</v>
      </c>
      <c r="B43" s="7" t="s">
        <v>1263</v>
      </c>
      <c r="C43" s="7" t="s">
        <v>1181</v>
      </c>
      <c r="D43" s="7" t="s">
        <v>1178</v>
      </c>
      <c r="E43" s="10" t="n">
        <v>10566000</v>
      </c>
      <c r="F43" s="7" t="s">
        <v>1074</v>
      </c>
      <c r="G43" s="7" t="s">
        <v>1068</v>
      </c>
      <c r="H43" s="7" t="s">
        <v>1073</v>
      </c>
      <c r="I43" s="11" t="n">
        <v>6.24</v>
      </c>
      <c r="J43" s="7" t="s">
        <v>56</v>
      </c>
      <c r="K43" s="7" t="n">
        <v>3</v>
      </c>
    </row>
    <row r="44" customFormat="false" ht="15" hidden="false" customHeight="false" outlineLevel="0" collapsed="false">
      <c r="A44" s="7" t="s">
        <v>1264</v>
      </c>
      <c r="B44" s="7" t="s">
        <v>1265</v>
      </c>
      <c r="C44" s="7" t="s">
        <v>1177</v>
      </c>
      <c r="D44" s="7" t="s">
        <v>1184</v>
      </c>
      <c r="E44" s="10" t="n">
        <v>18007000</v>
      </c>
      <c r="F44" s="7" t="s">
        <v>1085</v>
      </c>
      <c r="G44" s="7" t="s">
        <v>1055</v>
      </c>
      <c r="H44" s="7" t="s">
        <v>1086</v>
      </c>
      <c r="I44" s="11" t="n">
        <v>4.77</v>
      </c>
      <c r="J44" s="7" t="s">
        <v>41</v>
      </c>
      <c r="K44" s="7" t="n">
        <v>8</v>
      </c>
    </row>
    <row r="45" customFormat="false" ht="15" hidden="false" customHeight="false" outlineLevel="0" collapsed="false">
      <c r="A45" s="7" t="s">
        <v>1266</v>
      </c>
      <c r="B45" s="7" t="s">
        <v>1267</v>
      </c>
      <c r="C45" s="7" t="s">
        <v>1181</v>
      </c>
      <c r="D45" s="7" t="s">
        <v>1178</v>
      </c>
      <c r="E45" s="10" t="n">
        <v>15051000</v>
      </c>
      <c r="F45" s="7" t="s">
        <v>1065</v>
      </c>
      <c r="G45" s="7" t="s">
        <v>1066</v>
      </c>
      <c r="H45" s="7" t="s">
        <v>56</v>
      </c>
      <c r="I45" s="11" t="n">
        <v>4.4</v>
      </c>
      <c r="J45" s="7" t="s">
        <v>56</v>
      </c>
      <c r="K45" s="7" t="n">
        <v>0</v>
      </c>
    </row>
    <row r="46" customFormat="false" ht="15" hidden="false" customHeight="false" outlineLevel="0" collapsed="false">
      <c r="A46" s="7" t="s">
        <v>1268</v>
      </c>
      <c r="B46" s="7" t="s">
        <v>1269</v>
      </c>
      <c r="C46" s="7" t="s">
        <v>1177</v>
      </c>
      <c r="D46" s="7" t="s">
        <v>1178</v>
      </c>
      <c r="E46" s="10" t="n">
        <v>17828000</v>
      </c>
      <c r="F46" s="7" t="s">
        <v>1112</v>
      </c>
      <c r="G46" s="7" t="s">
        <v>1056</v>
      </c>
      <c r="H46" s="7" t="s">
        <v>1113</v>
      </c>
      <c r="I46" s="11" t="n">
        <v>4.78</v>
      </c>
      <c r="J46" s="7" t="s">
        <v>56</v>
      </c>
      <c r="K46" s="7" t="n">
        <v>4</v>
      </c>
    </row>
    <row r="47" customFormat="false" ht="15" hidden="false" customHeight="false" outlineLevel="0" collapsed="false">
      <c r="A47" s="7" t="s">
        <v>1270</v>
      </c>
      <c r="B47" s="7" t="s">
        <v>1271</v>
      </c>
      <c r="C47" s="7" t="s">
        <v>1181</v>
      </c>
      <c r="D47" s="7" t="s">
        <v>1178</v>
      </c>
      <c r="E47" s="10" t="n">
        <v>9871000</v>
      </c>
      <c r="F47" s="7" t="s">
        <v>1114</v>
      </c>
      <c r="G47" s="7" t="s">
        <v>1056</v>
      </c>
      <c r="H47" s="7" t="s">
        <v>1113</v>
      </c>
      <c r="I47" s="11" t="n">
        <v>11.93</v>
      </c>
      <c r="J47" s="7" t="s">
        <v>56</v>
      </c>
      <c r="K47" s="7" t="n">
        <v>2</v>
      </c>
    </row>
    <row r="48" customFormat="false" ht="15" hidden="false" customHeight="false" outlineLevel="0" collapsed="false">
      <c r="A48" s="7" t="s">
        <v>1272</v>
      </c>
      <c r="B48" s="7" t="s">
        <v>1273</v>
      </c>
      <c r="C48" s="7" t="s">
        <v>1177</v>
      </c>
      <c r="D48" s="7" t="s">
        <v>1178</v>
      </c>
      <c r="E48" s="10" t="n">
        <v>12943000</v>
      </c>
      <c r="F48" s="7" t="s">
        <v>1074</v>
      </c>
      <c r="G48" s="7" t="s">
        <v>1068</v>
      </c>
      <c r="H48" s="7" t="s">
        <v>1073</v>
      </c>
      <c r="I48" s="11" t="n">
        <v>6.24</v>
      </c>
      <c r="J48" s="7" t="s">
        <v>56</v>
      </c>
      <c r="K48" s="7" t="n">
        <v>2</v>
      </c>
    </row>
    <row r="49" customFormat="false" ht="15" hidden="false" customHeight="false" outlineLevel="0" collapsed="false">
      <c r="A49" s="7" t="s">
        <v>1274</v>
      </c>
      <c r="B49" s="7" t="s">
        <v>1275</v>
      </c>
      <c r="C49" s="7" t="s">
        <v>1181</v>
      </c>
      <c r="D49" s="7" t="s">
        <v>1184</v>
      </c>
      <c r="E49" s="10" t="n">
        <v>10574000</v>
      </c>
      <c r="F49" s="7" t="s">
        <v>1085</v>
      </c>
      <c r="G49" s="7" t="s">
        <v>1055</v>
      </c>
      <c r="H49" s="7" t="s">
        <v>1086</v>
      </c>
      <c r="I49" s="11" t="n">
        <v>4.77</v>
      </c>
      <c r="J49" s="7" t="s">
        <v>41</v>
      </c>
      <c r="K49" s="7" t="n">
        <v>9</v>
      </c>
    </row>
    <row r="50" customFormat="false" ht="15" hidden="false" customHeight="false" outlineLevel="0" collapsed="false">
      <c r="A50" s="7" t="s">
        <v>1276</v>
      </c>
      <c r="B50" s="7" t="s">
        <v>1277</v>
      </c>
      <c r="C50" s="7" t="s">
        <v>1181</v>
      </c>
      <c r="D50" s="7" t="s">
        <v>1193</v>
      </c>
      <c r="E50" s="10" t="n">
        <v>11173000</v>
      </c>
      <c r="F50" s="7" t="s">
        <v>1097</v>
      </c>
      <c r="G50" s="7" t="s">
        <v>1056</v>
      </c>
      <c r="H50" s="7" t="s">
        <v>49</v>
      </c>
      <c r="I50" s="11" t="n">
        <v>12.74</v>
      </c>
      <c r="J50" s="7" t="s">
        <v>49</v>
      </c>
      <c r="K50" s="7" t="n">
        <v>10</v>
      </c>
    </row>
    <row r="51" customFormat="false" ht="15" hidden="false" customHeight="false" outlineLevel="0" collapsed="false">
      <c r="A51" s="7" t="s">
        <v>1278</v>
      </c>
      <c r="B51" s="7" t="s">
        <v>1279</v>
      </c>
      <c r="C51" s="7" t="s">
        <v>1181</v>
      </c>
      <c r="D51" s="7" t="s">
        <v>1184</v>
      </c>
      <c r="E51" s="10" t="n">
        <v>7272000</v>
      </c>
      <c r="F51" s="7" t="s">
        <v>1085</v>
      </c>
      <c r="G51" s="7" t="s">
        <v>1055</v>
      </c>
      <c r="H51" s="7" t="s">
        <v>1086</v>
      </c>
      <c r="I51" s="11" t="n">
        <v>4.77</v>
      </c>
      <c r="J51" s="7" t="s">
        <v>41</v>
      </c>
      <c r="K51" s="7" t="n">
        <v>0</v>
      </c>
    </row>
    <row r="52" customFormat="false" ht="15" hidden="false" customHeight="false" outlineLevel="0" collapsed="false">
      <c r="A52" s="7" t="s">
        <v>1280</v>
      </c>
      <c r="B52" s="7" t="s">
        <v>1281</v>
      </c>
      <c r="C52" s="7" t="s">
        <v>1177</v>
      </c>
      <c r="D52" s="7" t="s">
        <v>1193</v>
      </c>
      <c r="E52" s="10" t="n">
        <v>7331000</v>
      </c>
      <c r="F52" s="7" t="s">
        <v>1104</v>
      </c>
      <c r="G52" s="7" t="s">
        <v>1047</v>
      </c>
      <c r="H52" s="7" t="s">
        <v>91</v>
      </c>
      <c r="I52" s="11" t="n">
        <v>19.02</v>
      </c>
      <c r="J52" s="7" t="s">
        <v>91</v>
      </c>
      <c r="K52" s="7" t="n">
        <v>2</v>
      </c>
    </row>
    <row r="53" customFormat="false" ht="15" hidden="false" customHeight="false" outlineLevel="0" collapsed="false">
      <c r="A53" s="7" t="s">
        <v>1282</v>
      </c>
      <c r="B53" s="7" t="s">
        <v>1283</v>
      </c>
      <c r="C53" s="7" t="s">
        <v>1177</v>
      </c>
      <c r="D53" s="7" t="s">
        <v>1184</v>
      </c>
      <c r="E53" s="10" t="n">
        <v>5257000</v>
      </c>
      <c r="F53" s="7" t="s">
        <v>1072</v>
      </c>
      <c r="G53" s="7" t="s">
        <v>1056</v>
      </c>
      <c r="H53" s="7" t="s">
        <v>1073</v>
      </c>
      <c r="I53" s="11" t="n">
        <v>4.63</v>
      </c>
      <c r="J53" s="7" t="s">
        <v>56</v>
      </c>
      <c r="K53" s="7" t="n">
        <v>5</v>
      </c>
    </row>
    <row r="54" customFormat="false" ht="15" hidden="false" customHeight="false" outlineLevel="0" collapsed="false">
      <c r="A54" s="7" t="s">
        <v>1284</v>
      </c>
      <c r="B54" s="7" t="s">
        <v>1285</v>
      </c>
      <c r="C54" s="7" t="s">
        <v>1181</v>
      </c>
      <c r="D54" s="7" t="s">
        <v>1193</v>
      </c>
      <c r="E54" s="10" t="n">
        <v>11241000</v>
      </c>
      <c r="F54" s="7" t="s">
        <v>1080</v>
      </c>
      <c r="G54" s="7" t="s">
        <v>1056</v>
      </c>
      <c r="H54" s="7" t="s">
        <v>41</v>
      </c>
      <c r="I54" s="11" t="n">
        <v>3.34</v>
      </c>
      <c r="J54" s="7" t="s">
        <v>41</v>
      </c>
      <c r="K54" s="7" t="n">
        <v>4</v>
      </c>
    </row>
    <row r="55" customFormat="false" ht="15" hidden="false" customHeight="false" outlineLevel="0" collapsed="false">
      <c r="A55" s="7" t="s">
        <v>1286</v>
      </c>
      <c r="B55" s="7" t="s">
        <v>1287</v>
      </c>
      <c r="C55" s="7" t="s">
        <v>1177</v>
      </c>
      <c r="D55" s="7" t="s">
        <v>1178</v>
      </c>
      <c r="E55" s="10" t="n">
        <v>14366000</v>
      </c>
      <c r="F55" s="7" t="s">
        <v>1114</v>
      </c>
      <c r="G55" s="7" t="s">
        <v>1056</v>
      </c>
      <c r="H55" s="7" t="s">
        <v>1113</v>
      </c>
      <c r="I55" s="11" t="n">
        <v>11.93</v>
      </c>
      <c r="J55" s="7" t="s">
        <v>56</v>
      </c>
      <c r="K55" s="7" t="n">
        <v>6</v>
      </c>
    </row>
    <row r="56" customFormat="false" ht="15" hidden="false" customHeight="false" outlineLevel="0" collapsed="false">
      <c r="A56" s="7" t="s">
        <v>1288</v>
      </c>
      <c r="B56" s="7" t="s">
        <v>1289</v>
      </c>
      <c r="C56" s="7" t="s">
        <v>1177</v>
      </c>
      <c r="D56" s="7" t="s">
        <v>1193</v>
      </c>
      <c r="E56" s="10" t="n">
        <v>8666000</v>
      </c>
      <c r="F56" s="7" t="s">
        <v>1102</v>
      </c>
      <c r="G56" s="7" t="s">
        <v>1056</v>
      </c>
      <c r="H56" s="7" t="s">
        <v>91</v>
      </c>
      <c r="I56" s="11" t="n">
        <v>5.1</v>
      </c>
      <c r="J56" s="7" t="s">
        <v>91</v>
      </c>
      <c r="K56" s="7" t="n">
        <v>4</v>
      </c>
    </row>
    <row r="57" customFormat="false" ht="15" hidden="false" customHeight="false" outlineLevel="0" collapsed="false">
      <c r="A57" s="7" t="s">
        <v>1290</v>
      </c>
      <c r="B57" s="7" t="s">
        <v>1291</v>
      </c>
      <c r="C57" s="7" t="s">
        <v>1177</v>
      </c>
      <c r="D57" s="7" t="s">
        <v>1178</v>
      </c>
      <c r="E57" s="10" t="n">
        <v>18493000</v>
      </c>
      <c r="F57" s="7" t="s">
        <v>1076</v>
      </c>
      <c r="G57" s="7" t="s">
        <v>1055</v>
      </c>
      <c r="H57" s="7" t="s">
        <v>41</v>
      </c>
      <c r="I57" s="11" t="n">
        <v>5.91</v>
      </c>
      <c r="J57" s="7" t="s">
        <v>41</v>
      </c>
      <c r="K57" s="7" t="n">
        <v>10</v>
      </c>
    </row>
    <row r="58" customFormat="false" ht="15" hidden="false" customHeight="false" outlineLevel="0" collapsed="false">
      <c r="A58" s="7" t="s">
        <v>1292</v>
      </c>
      <c r="B58" s="7" t="s">
        <v>1293</v>
      </c>
      <c r="C58" s="7" t="s">
        <v>1181</v>
      </c>
      <c r="D58" s="7" t="s">
        <v>1193</v>
      </c>
      <c r="E58" s="10" t="n">
        <v>6229000</v>
      </c>
      <c r="F58" s="7" t="s">
        <v>1132</v>
      </c>
      <c r="G58" s="7" t="s">
        <v>1055</v>
      </c>
      <c r="H58" s="7" t="s">
        <v>1129</v>
      </c>
      <c r="I58" s="11" t="n">
        <v>-2.23</v>
      </c>
      <c r="J58" s="7" t="s">
        <v>56</v>
      </c>
      <c r="K58" s="7" t="n">
        <v>10</v>
      </c>
    </row>
    <row r="59" customFormat="false" ht="15" hidden="false" customHeight="false" outlineLevel="0" collapsed="false">
      <c r="A59" s="7" t="s">
        <v>1294</v>
      </c>
      <c r="B59" s="7" t="s">
        <v>1295</v>
      </c>
      <c r="C59" s="7" t="s">
        <v>1181</v>
      </c>
      <c r="D59" s="7" t="s">
        <v>1178</v>
      </c>
      <c r="E59" s="10" t="n">
        <v>7650000</v>
      </c>
      <c r="F59" s="7" t="s">
        <v>1046</v>
      </c>
      <c r="G59" s="7" t="s">
        <v>1047</v>
      </c>
      <c r="H59" s="7" t="s">
        <v>56</v>
      </c>
      <c r="I59" s="11" t="n">
        <v>5.67</v>
      </c>
      <c r="J59" s="7" t="s">
        <v>56</v>
      </c>
      <c r="K59" s="7" t="n">
        <v>1</v>
      </c>
    </row>
    <row r="60" customFormat="false" ht="15" hidden="false" customHeight="false" outlineLevel="0" collapsed="false">
      <c r="A60" s="7" t="s">
        <v>1296</v>
      </c>
      <c r="B60" s="7" t="s">
        <v>1297</v>
      </c>
      <c r="C60" s="7" t="s">
        <v>1181</v>
      </c>
      <c r="D60" s="7" t="s">
        <v>1193</v>
      </c>
      <c r="E60" s="10" t="n">
        <v>15588000</v>
      </c>
      <c r="F60" s="7" t="s">
        <v>1102</v>
      </c>
      <c r="G60" s="7" t="s">
        <v>1056</v>
      </c>
      <c r="H60" s="7" t="s">
        <v>91</v>
      </c>
      <c r="I60" s="11" t="n">
        <v>5.1</v>
      </c>
      <c r="J60" s="7" t="s">
        <v>91</v>
      </c>
      <c r="K60" s="7" t="n">
        <v>9</v>
      </c>
    </row>
    <row r="61" customFormat="false" ht="15" hidden="false" customHeight="false" outlineLevel="0" collapsed="false">
      <c r="A61" s="7" t="s">
        <v>1298</v>
      </c>
      <c r="B61" s="7" t="s">
        <v>1299</v>
      </c>
      <c r="C61" s="7" t="s">
        <v>1181</v>
      </c>
      <c r="D61" s="7" t="s">
        <v>1184</v>
      </c>
      <c r="E61" s="10" t="n">
        <v>8801000</v>
      </c>
      <c r="F61" s="7" t="s">
        <v>1074</v>
      </c>
      <c r="G61" s="7" t="s">
        <v>1066</v>
      </c>
      <c r="H61" s="7" t="s">
        <v>1073</v>
      </c>
      <c r="I61" s="11" t="n">
        <v>5.92</v>
      </c>
      <c r="J61" s="7" t="s">
        <v>56</v>
      </c>
      <c r="K61" s="7" t="n">
        <v>4</v>
      </c>
    </row>
    <row r="62" customFormat="false" ht="15" hidden="false" customHeight="false" outlineLevel="0" collapsed="false">
      <c r="A62" s="7" t="s">
        <v>1300</v>
      </c>
      <c r="B62" s="7" t="s">
        <v>1301</v>
      </c>
      <c r="C62" s="7" t="s">
        <v>1177</v>
      </c>
      <c r="D62" s="7" t="s">
        <v>1184</v>
      </c>
      <c r="E62" s="10" t="n">
        <v>7051000</v>
      </c>
      <c r="F62" s="7" t="s">
        <v>1085</v>
      </c>
      <c r="G62" s="7" t="s">
        <v>1056</v>
      </c>
      <c r="H62" s="7" t="s">
        <v>1086</v>
      </c>
      <c r="I62" s="11" t="n">
        <v>5.11</v>
      </c>
      <c r="J62" s="7" t="s">
        <v>41</v>
      </c>
      <c r="K62" s="7" t="n">
        <v>9</v>
      </c>
    </row>
    <row r="63" customFormat="false" ht="15" hidden="false" customHeight="false" outlineLevel="0" collapsed="false">
      <c r="A63" s="7" t="s">
        <v>1302</v>
      </c>
      <c r="B63" s="7" t="s">
        <v>1303</v>
      </c>
      <c r="C63" s="7" t="s">
        <v>1181</v>
      </c>
      <c r="D63" s="7" t="s">
        <v>1184</v>
      </c>
      <c r="E63" s="10" t="n">
        <v>7136000</v>
      </c>
      <c r="F63" s="7" t="s">
        <v>1085</v>
      </c>
      <c r="G63" s="7" t="s">
        <v>1056</v>
      </c>
      <c r="H63" s="7" t="s">
        <v>1086</v>
      </c>
      <c r="I63" s="11" t="n">
        <v>5.11</v>
      </c>
      <c r="J63" s="7" t="s">
        <v>41</v>
      </c>
      <c r="K63" s="7" t="n">
        <v>0</v>
      </c>
    </row>
    <row r="64" customFormat="false" ht="15" hidden="false" customHeight="false" outlineLevel="0" collapsed="false">
      <c r="A64" s="7" t="s">
        <v>1304</v>
      </c>
      <c r="B64" s="7" t="s">
        <v>1305</v>
      </c>
      <c r="C64" s="7" t="s">
        <v>1177</v>
      </c>
      <c r="D64" s="7" t="s">
        <v>1184</v>
      </c>
      <c r="E64" s="10" t="n">
        <v>19164000</v>
      </c>
      <c r="F64" s="7" t="s">
        <v>1085</v>
      </c>
      <c r="G64" s="7" t="s">
        <v>1055</v>
      </c>
      <c r="H64" s="7" t="s">
        <v>1086</v>
      </c>
      <c r="I64" s="11" t="n">
        <v>4.77</v>
      </c>
      <c r="J64" s="7" t="s">
        <v>41</v>
      </c>
      <c r="K64" s="7" t="n">
        <v>11</v>
      </c>
    </row>
    <row r="65" customFormat="false" ht="15" hidden="false" customHeight="false" outlineLevel="0" collapsed="false">
      <c r="A65" s="7" t="s">
        <v>1306</v>
      </c>
      <c r="B65" s="7" t="s">
        <v>1307</v>
      </c>
      <c r="C65" s="7" t="s">
        <v>1181</v>
      </c>
      <c r="D65" s="7" t="s">
        <v>1178</v>
      </c>
      <c r="E65" s="10" t="n">
        <v>10219000</v>
      </c>
      <c r="F65" s="7" t="s">
        <v>1060</v>
      </c>
      <c r="G65" s="7" t="s">
        <v>1061</v>
      </c>
      <c r="H65" s="7" t="s">
        <v>56</v>
      </c>
      <c r="I65" s="11" t="n">
        <v>4.39</v>
      </c>
      <c r="J65" s="7" t="s">
        <v>56</v>
      </c>
      <c r="K65" s="7" t="n">
        <v>3</v>
      </c>
    </row>
    <row r="66" customFormat="false" ht="15" hidden="false" customHeight="false" outlineLevel="0" collapsed="false">
      <c r="A66" s="7" t="s">
        <v>1308</v>
      </c>
      <c r="B66" s="7" t="s">
        <v>1309</v>
      </c>
      <c r="C66" s="7" t="s">
        <v>1181</v>
      </c>
      <c r="D66" s="7" t="s">
        <v>1178</v>
      </c>
      <c r="E66" s="10" t="n">
        <v>19069000</v>
      </c>
      <c r="F66" s="7" t="s">
        <v>1083</v>
      </c>
      <c r="G66" s="7" t="s">
        <v>1056</v>
      </c>
      <c r="H66" s="7" t="s">
        <v>41</v>
      </c>
      <c r="I66" s="11" t="n">
        <v>4.44</v>
      </c>
      <c r="J66" s="7" t="s">
        <v>41</v>
      </c>
      <c r="K66" s="7" t="n">
        <v>10</v>
      </c>
    </row>
    <row r="67" customFormat="false" ht="15" hidden="false" customHeight="false" outlineLevel="0" collapsed="false">
      <c r="A67" s="7" t="s">
        <v>1310</v>
      </c>
      <c r="B67" s="7" t="s">
        <v>1311</v>
      </c>
      <c r="C67" s="7" t="s">
        <v>1181</v>
      </c>
      <c r="D67" s="7" t="s">
        <v>1184</v>
      </c>
      <c r="E67" s="10" t="n">
        <v>9271000</v>
      </c>
      <c r="F67" s="7" t="s">
        <v>1085</v>
      </c>
      <c r="G67" s="7" t="s">
        <v>1056</v>
      </c>
      <c r="H67" s="7" t="s">
        <v>1086</v>
      </c>
      <c r="I67" s="11" t="n">
        <v>5.11</v>
      </c>
      <c r="J67" s="7" t="s">
        <v>41</v>
      </c>
      <c r="K67" s="7" t="n">
        <v>10</v>
      </c>
    </row>
    <row r="68" customFormat="false" ht="15" hidden="false" customHeight="false" outlineLevel="0" collapsed="false">
      <c r="A68" s="7" t="s">
        <v>1312</v>
      </c>
      <c r="B68" s="7" t="s">
        <v>1313</v>
      </c>
      <c r="C68" s="7" t="s">
        <v>1177</v>
      </c>
      <c r="D68" s="7" t="s">
        <v>1184</v>
      </c>
      <c r="E68" s="10" t="n">
        <v>11733000</v>
      </c>
      <c r="F68" s="7" t="s">
        <v>1072</v>
      </c>
      <c r="G68" s="7" t="s">
        <v>1055</v>
      </c>
      <c r="H68" s="7" t="s">
        <v>1073</v>
      </c>
      <c r="I68" s="11" t="n">
        <v>4.64</v>
      </c>
      <c r="J68" s="7" t="s">
        <v>56</v>
      </c>
      <c r="K68" s="7" t="n">
        <v>2</v>
      </c>
    </row>
    <row r="69" customFormat="false" ht="15" hidden="false" customHeight="false" outlineLevel="0" collapsed="false">
      <c r="A69" s="7" t="s">
        <v>1314</v>
      </c>
      <c r="B69" s="7" t="s">
        <v>1315</v>
      </c>
      <c r="C69" s="7" t="s">
        <v>1177</v>
      </c>
      <c r="D69" s="7" t="s">
        <v>1184</v>
      </c>
      <c r="E69" s="10" t="n">
        <v>14447000</v>
      </c>
      <c r="F69" s="7" t="s">
        <v>1072</v>
      </c>
      <c r="G69" s="7" t="s">
        <v>1056</v>
      </c>
      <c r="H69" s="7" t="s">
        <v>1073</v>
      </c>
      <c r="I69" s="11" t="n">
        <v>4.63</v>
      </c>
      <c r="J69" s="7" t="s">
        <v>56</v>
      </c>
      <c r="K69" s="7" t="n">
        <v>1</v>
      </c>
    </row>
    <row r="70" customFormat="false" ht="15" hidden="false" customHeight="false" outlineLevel="0" collapsed="false">
      <c r="A70" s="7" t="s">
        <v>1316</v>
      </c>
      <c r="B70" s="7" t="s">
        <v>1317</v>
      </c>
      <c r="C70" s="7" t="s">
        <v>1177</v>
      </c>
      <c r="D70" s="7" t="s">
        <v>1193</v>
      </c>
      <c r="E70" s="10" t="n">
        <v>12435000</v>
      </c>
      <c r="F70" s="7" t="s">
        <v>1097</v>
      </c>
      <c r="G70" s="7" t="s">
        <v>1056</v>
      </c>
      <c r="H70" s="7" t="s">
        <v>49</v>
      </c>
      <c r="I70" s="11" t="n">
        <v>12.74</v>
      </c>
      <c r="J70" s="7" t="s">
        <v>49</v>
      </c>
      <c r="K70" s="7" t="n">
        <v>3</v>
      </c>
    </row>
    <row r="71" customFormat="false" ht="15" hidden="false" customHeight="false" outlineLevel="0" collapsed="false">
      <c r="A71" s="7" t="s">
        <v>1318</v>
      </c>
      <c r="B71" s="7" t="s">
        <v>1319</v>
      </c>
      <c r="C71" s="7" t="s">
        <v>1181</v>
      </c>
      <c r="D71" s="7" t="s">
        <v>1178</v>
      </c>
      <c r="E71" s="10" t="n">
        <v>9243000</v>
      </c>
      <c r="F71" s="7" t="s">
        <v>1114</v>
      </c>
      <c r="G71" s="7" t="s">
        <v>1055</v>
      </c>
      <c r="H71" s="7" t="s">
        <v>1113</v>
      </c>
      <c r="I71" s="11" t="n">
        <v>11.6</v>
      </c>
      <c r="J71" s="7" t="s">
        <v>56</v>
      </c>
      <c r="K71" s="7" t="n">
        <v>0</v>
      </c>
    </row>
    <row r="72" customFormat="false" ht="15" hidden="false" customHeight="false" outlineLevel="0" collapsed="false">
      <c r="A72" s="7" t="s">
        <v>1320</v>
      </c>
      <c r="B72" s="7" t="s">
        <v>1321</v>
      </c>
      <c r="C72" s="7" t="s">
        <v>1177</v>
      </c>
      <c r="D72" s="7" t="s">
        <v>1178</v>
      </c>
      <c r="E72" s="10" t="n">
        <v>15298000</v>
      </c>
      <c r="F72" s="7" t="s">
        <v>1112</v>
      </c>
      <c r="G72" s="7" t="s">
        <v>1056</v>
      </c>
      <c r="H72" s="7" t="s">
        <v>1113</v>
      </c>
      <c r="I72" s="11" t="n">
        <v>4.78</v>
      </c>
      <c r="J72" s="7" t="s">
        <v>56</v>
      </c>
      <c r="K72" s="7" t="n">
        <v>11</v>
      </c>
    </row>
    <row r="73" customFormat="false" ht="15" hidden="false" customHeight="false" outlineLevel="0" collapsed="false">
      <c r="A73" s="7" t="s">
        <v>1322</v>
      </c>
      <c r="B73" s="7" t="s">
        <v>1323</v>
      </c>
      <c r="C73" s="7" t="s">
        <v>1181</v>
      </c>
      <c r="D73" s="7" t="s">
        <v>1193</v>
      </c>
      <c r="E73" s="10" t="n">
        <v>7434000</v>
      </c>
      <c r="F73" s="7" t="s">
        <v>1082</v>
      </c>
      <c r="G73" s="7" t="s">
        <v>1055</v>
      </c>
      <c r="H73" s="7" t="s">
        <v>41</v>
      </c>
      <c r="I73" s="11" t="n">
        <v>1.1</v>
      </c>
      <c r="J73" s="7" t="s">
        <v>41</v>
      </c>
      <c r="K73" s="7" t="n">
        <v>9</v>
      </c>
    </row>
    <row r="74" customFormat="false" ht="15" hidden="false" customHeight="false" outlineLevel="0" collapsed="false">
      <c r="A74" s="7" t="s">
        <v>1324</v>
      </c>
      <c r="B74" s="7" t="s">
        <v>1325</v>
      </c>
      <c r="C74" s="7" t="s">
        <v>1181</v>
      </c>
      <c r="D74" s="7" t="s">
        <v>1178</v>
      </c>
      <c r="E74" s="10" t="n">
        <v>10387000</v>
      </c>
      <c r="F74" s="7" t="s">
        <v>1074</v>
      </c>
      <c r="G74" s="7" t="s">
        <v>1068</v>
      </c>
      <c r="H74" s="7" t="s">
        <v>1073</v>
      </c>
      <c r="I74" s="11" t="n">
        <v>6.24</v>
      </c>
      <c r="J74" s="7" t="s">
        <v>56</v>
      </c>
      <c r="K74" s="7" t="n">
        <v>7</v>
      </c>
    </row>
    <row r="75" customFormat="false" ht="15" hidden="false" customHeight="false" outlineLevel="0" collapsed="false">
      <c r="A75" s="7" t="s">
        <v>1326</v>
      </c>
      <c r="B75" s="7" t="s">
        <v>1327</v>
      </c>
      <c r="C75" s="7" t="s">
        <v>1177</v>
      </c>
      <c r="D75" s="7" t="s">
        <v>1184</v>
      </c>
      <c r="E75" s="10" t="n">
        <v>10908000</v>
      </c>
      <c r="F75" s="7" t="s">
        <v>1046</v>
      </c>
      <c r="G75" s="7" t="s">
        <v>1047</v>
      </c>
      <c r="H75" s="7" t="s">
        <v>56</v>
      </c>
      <c r="I75" s="11" t="n">
        <v>5.67</v>
      </c>
      <c r="J75" s="7" t="s">
        <v>56</v>
      </c>
      <c r="K75" s="7" t="n">
        <v>3</v>
      </c>
    </row>
    <row r="76" customFormat="false" ht="15" hidden="false" customHeight="false" outlineLevel="0" collapsed="false">
      <c r="A76" s="7" t="s">
        <v>1328</v>
      </c>
      <c r="B76" s="7" t="s">
        <v>1329</v>
      </c>
      <c r="C76" s="7" t="s">
        <v>1177</v>
      </c>
      <c r="D76" s="7" t="s">
        <v>1184</v>
      </c>
      <c r="E76" s="10" t="n">
        <v>18263000</v>
      </c>
      <c r="F76" s="7" t="s">
        <v>1074</v>
      </c>
      <c r="G76" s="7" t="s">
        <v>1068</v>
      </c>
      <c r="H76" s="7" t="s">
        <v>1073</v>
      </c>
      <c r="I76" s="11" t="n">
        <v>6.24</v>
      </c>
      <c r="J76" s="7" t="s">
        <v>56</v>
      </c>
      <c r="K76" s="7" t="n">
        <v>0</v>
      </c>
    </row>
    <row r="77" customFormat="false" ht="15" hidden="false" customHeight="false" outlineLevel="0" collapsed="false">
      <c r="A77" s="7" t="s">
        <v>1330</v>
      </c>
      <c r="B77" s="7" t="s">
        <v>1331</v>
      </c>
      <c r="C77" s="7" t="s">
        <v>1177</v>
      </c>
      <c r="D77" s="7" t="s">
        <v>1193</v>
      </c>
      <c r="E77" s="10" t="n">
        <v>11800000</v>
      </c>
      <c r="F77" s="7" t="s">
        <v>1102</v>
      </c>
      <c r="G77" s="7" t="s">
        <v>1056</v>
      </c>
      <c r="H77" s="7" t="s">
        <v>91</v>
      </c>
      <c r="I77" s="11" t="n">
        <v>5.1</v>
      </c>
      <c r="J77" s="7" t="s">
        <v>91</v>
      </c>
      <c r="K77" s="7" t="n">
        <v>1</v>
      </c>
    </row>
    <row r="78" customFormat="false" ht="15" hidden="false" customHeight="false" outlineLevel="0" collapsed="false">
      <c r="A78" s="7" t="s">
        <v>1332</v>
      </c>
      <c r="B78" s="7" t="s">
        <v>1333</v>
      </c>
      <c r="C78" s="7" t="s">
        <v>1181</v>
      </c>
      <c r="D78" s="7" t="s">
        <v>1184</v>
      </c>
      <c r="E78" s="10" t="n">
        <v>7163000</v>
      </c>
      <c r="F78" s="7" t="s">
        <v>1085</v>
      </c>
      <c r="G78" s="7" t="s">
        <v>1056</v>
      </c>
      <c r="H78" s="7" t="s">
        <v>1086</v>
      </c>
      <c r="I78" s="11" t="n">
        <v>5.11</v>
      </c>
      <c r="J78" s="7" t="s">
        <v>41</v>
      </c>
      <c r="K78" s="7" t="n">
        <v>5</v>
      </c>
    </row>
    <row r="79" customFormat="false" ht="15" hidden="false" customHeight="false" outlineLevel="0" collapsed="false">
      <c r="A79" s="7" t="s">
        <v>1334</v>
      </c>
      <c r="B79" s="7" t="s">
        <v>1335</v>
      </c>
      <c r="C79" s="7" t="s">
        <v>1181</v>
      </c>
      <c r="D79" s="7" t="s">
        <v>1178</v>
      </c>
      <c r="E79" s="10" t="n">
        <v>9564000</v>
      </c>
      <c r="F79" s="7" t="s">
        <v>1051</v>
      </c>
      <c r="G79" s="7" t="s">
        <v>1052</v>
      </c>
      <c r="H79" s="7" t="s">
        <v>56</v>
      </c>
      <c r="I79" s="11" t="n">
        <v>4.24</v>
      </c>
      <c r="J79" s="7" t="s">
        <v>56</v>
      </c>
      <c r="K79" s="7" t="n">
        <v>3</v>
      </c>
    </row>
    <row r="80" customFormat="false" ht="15" hidden="false" customHeight="false" outlineLevel="0" collapsed="false">
      <c r="A80" s="7" t="s">
        <v>1336</v>
      </c>
      <c r="B80" s="7" t="s">
        <v>1337</v>
      </c>
      <c r="C80" s="7" t="s">
        <v>1177</v>
      </c>
      <c r="D80" s="7" t="s">
        <v>1184</v>
      </c>
      <c r="E80" s="10" t="n">
        <v>18742000</v>
      </c>
      <c r="F80" s="7" t="s">
        <v>1054</v>
      </c>
      <c r="G80" s="7" t="s">
        <v>1056</v>
      </c>
      <c r="H80" s="7" t="s">
        <v>56</v>
      </c>
      <c r="I80" s="11" t="n">
        <v>4.57</v>
      </c>
      <c r="J80" s="7" t="s">
        <v>56</v>
      </c>
      <c r="K80" s="7" t="n">
        <v>2</v>
      </c>
    </row>
    <row r="81" customFormat="false" ht="15" hidden="false" customHeight="false" outlineLevel="0" collapsed="false">
      <c r="A81" s="7" t="s">
        <v>1338</v>
      </c>
      <c r="B81" s="7" t="s">
        <v>1339</v>
      </c>
      <c r="C81" s="7" t="s">
        <v>1177</v>
      </c>
      <c r="D81" s="7" t="s">
        <v>1184</v>
      </c>
      <c r="E81" s="10" t="n">
        <v>6215000</v>
      </c>
      <c r="F81" s="7" t="s">
        <v>1085</v>
      </c>
      <c r="G81" s="7" t="s">
        <v>1056</v>
      </c>
      <c r="H81" s="7" t="s">
        <v>1086</v>
      </c>
      <c r="I81" s="11" t="n">
        <v>5.11</v>
      </c>
      <c r="J81" s="7" t="s">
        <v>41</v>
      </c>
      <c r="K81" s="7" t="n">
        <v>8</v>
      </c>
    </row>
    <row r="82" customFormat="false" ht="15" hidden="false" customHeight="false" outlineLevel="0" collapsed="false">
      <c r="A82" s="7" t="s">
        <v>1340</v>
      </c>
      <c r="B82" s="7" t="s">
        <v>1341</v>
      </c>
      <c r="C82" s="7" t="s">
        <v>1177</v>
      </c>
      <c r="D82" s="7" t="s">
        <v>1178</v>
      </c>
      <c r="E82" s="10" t="n">
        <v>18448000</v>
      </c>
      <c r="F82" s="7" t="s">
        <v>1082</v>
      </c>
      <c r="G82" s="7" t="s">
        <v>1055</v>
      </c>
      <c r="H82" s="7" t="s">
        <v>41</v>
      </c>
      <c r="I82" s="11" t="n">
        <v>1.1</v>
      </c>
      <c r="J82" s="7" t="s">
        <v>41</v>
      </c>
      <c r="K82" s="7" t="n">
        <v>10</v>
      </c>
    </row>
    <row r="83" customFormat="false" ht="15" hidden="false" customHeight="false" outlineLevel="0" collapsed="false">
      <c r="A83" s="7" t="s">
        <v>1342</v>
      </c>
      <c r="B83" s="7" t="s">
        <v>1343</v>
      </c>
      <c r="C83" s="7" t="s">
        <v>1177</v>
      </c>
      <c r="D83" s="7" t="s">
        <v>1184</v>
      </c>
      <c r="E83" s="10" t="n">
        <v>16519000</v>
      </c>
      <c r="F83" s="7" t="s">
        <v>1085</v>
      </c>
      <c r="G83" s="7" t="s">
        <v>1056</v>
      </c>
      <c r="H83" s="7" t="s">
        <v>1086</v>
      </c>
      <c r="I83" s="11" t="n">
        <v>5.11</v>
      </c>
      <c r="J83" s="7" t="s">
        <v>41</v>
      </c>
      <c r="K83" s="7" t="n">
        <v>6</v>
      </c>
    </row>
    <row r="84" customFormat="false" ht="15" hidden="false" customHeight="false" outlineLevel="0" collapsed="false">
      <c r="A84" s="7" t="s">
        <v>1344</v>
      </c>
      <c r="B84" s="7" t="s">
        <v>1345</v>
      </c>
      <c r="C84" s="7" t="s">
        <v>1181</v>
      </c>
      <c r="D84" s="7" t="s">
        <v>1184</v>
      </c>
      <c r="E84" s="10" t="n">
        <v>7254000</v>
      </c>
      <c r="F84" s="7" t="s">
        <v>1074</v>
      </c>
      <c r="G84" s="7" t="s">
        <v>1068</v>
      </c>
      <c r="H84" s="7" t="s">
        <v>1073</v>
      </c>
      <c r="I84" s="11" t="n">
        <v>6.24</v>
      </c>
      <c r="J84" s="7" t="s">
        <v>56</v>
      </c>
      <c r="K84" s="7" t="n">
        <v>9</v>
      </c>
    </row>
    <row r="85" customFormat="false" ht="15" hidden="false" customHeight="false" outlineLevel="0" collapsed="false">
      <c r="A85" s="7" t="s">
        <v>1346</v>
      </c>
      <c r="B85" s="7" t="s">
        <v>1347</v>
      </c>
      <c r="C85" s="7" t="s">
        <v>1177</v>
      </c>
      <c r="D85" s="7" t="s">
        <v>1184</v>
      </c>
      <c r="E85" s="10" t="n">
        <v>14079000</v>
      </c>
      <c r="F85" s="7" t="s">
        <v>1074</v>
      </c>
      <c r="G85" s="7" t="s">
        <v>1066</v>
      </c>
      <c r="H85" s="7" t="s">
        <v>1073</v>
      </c>
      <c r="I85" s="11" t="n">
        <v>5.92</v>
      </c>
      <c r="J85" s="7" t="s">
        <v>56</v>
      </c>
      <c r="K85" s="7" t="n">
        <v>9</v>
      </c>
    </row>
    <row r="86" customFormat="false" ht="15" hidden="false" customHeight="false" outlineLevel="0" collapsed="false">
      <c r="A86" s="7" t="s">
        <v>1348</v>
      </c>
      <c r="B86" s="7" t="s">
        <v>1349</v>
      </c>
      <c r="C86" s="7" t="s">
        <v>1177</v>
      </c>
      <c r="D86" s="7" t="s">
        <v>1184</v>
      </c>
      <c r="E86" s="10" t="n">
        <v>9262000</v>
      </c>
      <c r="F86" s="7" t="s">
        <v>1054</v>
      </c>
      <c r="G86" s="7" t="s">
        <v>1055</v>
      </c>
      <c r="H86" s="7" t="s">
        <v>56</v>
      </c>
      <c r="I86" s="11" t="n">
        <v>4.42</v>
      </c>
      <c r="J86" s="7" t="s">
        <v>56</v>
      </c>
      <c r="K86" s="7" t="n">
        <v>0</v>
      </c>
    </row>
    <row r="87" customFormat="false" ht="15" hidden="false" customHeight="false" outlineLevel="0" collapsed="false">
      <c r="A87" s="7" t="s">
        <v>1350</v>
      </c>
      <c r="B87" s="7" t="s">
        <v>1351</v>
      </c>
      <c r="C87" s="7" t="s">
        <v>1177</v>
      </c>
      <c r="D87" s="7" t="s">
        <v>1193</v>
      </c>
      <c r="E87" s="10" t="n">
        <v>12462000</v>
      </c>
      <c r="F87" s="7" t="s">
        <v>1106</v>
      </c>
      <c r="G87" s="7" t="s">
        <v>1055</v>
      </c>
      <c r="H87" s="7" t="s">
        <v>91</v>
      </c>
      <c r="I87" s="11" t="n">
        <v>7.21</v>
      </c>
      <c r="J87" s="7" t="s">
        <v>91</v>
      </c>
      <c r="K87" s="7" t="n">
        <v>4</v>
      </c>
    </row>
    <row r="88" customFormat="false" ht="15" hidden="false" customHeight="false" outlineLevel="0" collapsed="false">
      <c r="A88" s="7" t="s">
        <v>1352</v>
      </c>
      <c r="B88" s="7" t="s">
        <v>1353</v>
      </c>
      <c r="C88" s="7" t="s">
        <v>1181</v>
      </c>
      <c r="D88" s="7" t="s">
        <v>1178</v>
      </c>
      <c r="E88" s="10" t="n">
        <v>9666000</v>
      </c>
      <c r="F88" s="7" t="s">
        <v>1133</v>
      </c>
      <c r="G88" s="7" t="s">
        <v>1056</v>
      </c>
      <c r="H88" s="7" t="s">
        <v>1129</v>
      </c>
      <c r="I88" s="11" t="n">
        <v>1.55</v>
      </c>
      <c r="J88" s="7" t="s">
        <v>56</v>
      </c>
      <c r="K88" s="7" t="n">
        <v>2</v>
      </c>
    </row>
    <row r="89" customFormat="false" ht="15" hidden="false" customHeight="false" outlineLevel="0" collapsed="false">
      <c r="A89" s="7" t="s">
        <v>1354</v>
      </c>
      <c r="B89" s="7" t="s">
        <v>1355</v>
      </c>
      <c r="C89" s="7" t="s">
        <v>1177</v>
      </c>
      <c r="D89" s="7" t="s">
        <v>1193</v>
      </c>
      <c r="E89" s="10" t="n">
        <v>9284000</v>
      </c>
      <c r="F89" s="7" t="s">
        <v>1097</v>
      </c>
      <c r="G89" s="7" t="s">
        <v>1055</v>
      </c>
      <c r="H89" s="7" t="s">
        <v>49</v>
      </c>
      <c r="I89" s="11" t="n">
        <v>12.09</v>
      </c>
      <c r="J89" s="7" t="s">
        <v>49</v>
      </c>
      <c r="K89" s="7" t="n">
        <v>3</v>
      </c>
    </row>
    <row r="90" customFormat="false" ht="15" hidden="false" customHeight="false" outlineLevel="0" collapsed="false">
      <c r="A90" s="7" t="s">
        <v>1356</v>
      </c>
      <c r="B90" s="7" t="s">
        <v>1357</v>
      </c>
      <c r="C90" s="7" t="s">
        <v>1177</v>
      </c>
      <c r="D90" s="7" t="s">
        <v>1178</v>
      </c>
      <c r="E90" s="10" t="n">
        <v>10880000</v>
      </c>
      <c r="F90" s="7" t="s">
        <v>1059</v>
      </c>
      <c r="G90" s="7" t="s">
        <v>1047</v>
      </c>
      <c r="H90" s="7" t="s">
        <v>56</v>
      </c>
      <c r="I90" s="11" t="n">
        <v>4.54</v>
      </c>
      <c r="J90" s="7" t="s">
        <v>56</v>
      </c>
      <c r="K90" s="7" t="n">
        <v>3</v>
      </c>
    </row>
    <row r="91" customFormat="false" ht="15" hidden="false" customHeight="false" outlineLevel="0" collapsed="false">
      <c r="A91" s="7" t="s">
        <v>1358</v>
      </c>
      <c r="B91" s="7" t="s">
        <v>1359</v>
      </c>
      <c r="C91" s="7" t="s">
        <v>1177</v>
      </c>
      <c r="D91" s="7" t="s">
        <v>1193</v>
      </c>
      <c r="E91" s="10" t="n">
        <v>18179000</v>
      </c>
      <c r="F91" s="7" t="s">
        <v>1080</v>
      </c>
      <c r="G91" s="7" t="s">
        <v>1055</v>
      </c>
      <c r="H91" s="7" t="s">
        <v>41</v>
      </c>
      <c r="I91" s="11" t="n">
        <v>3.1</v>
      </c>
      <c r="J91" s="7" t="s">
        <v>41</v>
      </c>
      <c r="K91" s="7" t="n">
        <v>4</v>
      </c>
    </row>
    <row r="92" customFormat="false" ht="15" hidden="false" customHeight="false" outlineLevel="0" collapsed="false">
      <c r="A92" s="7" t="s">
        <v>1360</v>
      </c>
      <c r="B92" s="7" t="s">
        <v>1361</v>
      </c>
      <c r="C92" s="7" t="s">
        <v>1181</v>
      </c>
      <c r="D92" s="7" t="s">
        <v>1178</v>
      </c>
      <c r="E92" s="10" t="n">
        <v>5186000</v>
      </c>
      <c r="F92" s="7" t="s">
        <v>1080</v>
      </c>
      <c r="G92" s="7" t="s">
        <v>1055</v>
      </c>
      <c r="H92" s="7" t="s">
        <v>41</v>
      </c>
      <c r="I92" s="11" t="n">
        <v>3.1</v>
      </c>
      <c r="J92" s="7" t="s">
        <v>41</v>
      </c>
      <c r="K92" s="7" t="n">
        <v>5</v>
      </c>
    </row>
    <row r="93" customFormat="false" ht="15" hidden="false" customHeight="false" outlineLevel="0" collapsed="false">
      <c r="A93" s="7" t="s">
        <v>1362</v>
      </c>
      <c r="B93" s="7" t="s">
        <v>1363</v>
      </c>
      <c r="C93" s="7" t="s">
        <v>1181</v>
      </c>
      <c r="D93" s="7" t="s">
        <v>1178</v>
      </c>
      <c r="E93" s="10" t="n">
        <v>11020000</v>
      </c>
      <c r="F93" s="7" t="s">
        <v>1112</v>
      </c>
      <c r="G93" s="7" t="s">
        <v>1055</v>
      </c>
      <c r="H93" s="7" t="s">
        <v>1113</v>
      </c>
      <c r="I93" s="11" t="n">
        <v>4.17</v>
      </c>
      <c r="J93" s="7" t="s">
        <v>56</v>
      </c>
      <c r="K93" s="7" t="n">
        <v>0</v>
      </c>
    </row>
    <row r="94" customFormat="false" ht="15" hidden="false" customHeight="false" outlineLevel="0" collapsed="false">
      <c r="A94" s="7" t="s">
        <v>1364</v>
      </c>
      <c r="B94" s="7" t="s">
        <v>1365</v>
      </c>
      <c r="C94" s="7" t="s">
        <v>1181</v>
      </c>
      <c r="D94" s="7" t="s">
        <v>1184</v>
      </c>
      <c r="E94" s="10" t="n">
        <v>18560000</v>
      </c>
      <c r="F94" s="7" t="s">
        <v>1046</v>
      </c>
      <c r="G94" s="7" t="s">
        <v>1047</v>
      </c>
      <c r="H94" s="7" t="s">
        <v>56</v>
      </c>
      <c r="I94" s="11" t="n">
        <v>5.67</v>
      </c>
      <c r="J94" s="7" t="s">
        <v>56</v>
      </c>
      <c r="K94" s="7" t="n">
        <v>5</v>
      </c>
    </row>
    <row r="95" customFormat="false" ht="15" hidden="false" customHeight="false" outlineLevel="0" collapsed="false">
      <c r="A95" s="7" t="s">
        <v>1366</v>
      </c>
      <c r="B95" s="7" t="s">
        <v>1367</v>
      </c>
      <c r="C95" s="7" t="s">
        <v>1181</v>
      </c>
      <c r="D95" s="7" t="s">
        <v>1178</v>
      </c>
      <c r="E95" s="10" t="n">
        <v>13659000</v>
      </c>
      <c r="F95" s="7" t="s">
        <v>1059</v>
      </c>
      <c r="G95" s="7" t="s">
        <v>1055</v>
      </c>
      <c r="H95" s="7" t="s">
        <v>56</v>
      </c>
      <c r="I95" s="11" t="n">
        <v>4.61</v>
      </c>
      <c r="J95" s="7" t="s">
        <v>56</v>
      </c>
      <c r="K95" s="7" t="n">
        <v>7</v>
      </c>
    </row>
    <row r="96" customFormat="false" ht="15" hidden="false" customHeight="false" outlineLevel="0" collapsed="false">
      <c r="A96" s="7" t="s">
        <v>1368</v>
      </c>
      <c r="B96" s="7" t="s">
        <v>1369</v>
      </c>
      <c r="C96" s="7" t="s">
        <v>1177</v>
      </c>
      <c r="D96" s="7" t="s">
        <v>1184</v>
      </c>
      <c r="E96" s="10" t="n">
        <v>6582000</v>
      </c>
      <c r="F96" s="7" t="s">
        <v>1074</v>
      </c>
      <c r="G96" s="7" t="s">
        <v>1066</v>
      </c>
      <c r="H96" s="7" t="s">
        <v>1073</v>
      </c>
      <c r="I96" s="11" t="n">
        <v>5.92</v>
      </c>
      <c r="J96" s="7" t="s">
        <v>56</v>
      </c>
      <c r="K96" s="7" t="n">
        <v>10</v>
      </c>
    </row>
    <row r="97" customFormat="false" ht="15" hidden="false" customHeight="false" outlineLevel="0" collapsed="false">
      <c r="A97" s="7" t="s">
        <v>1370</v>
      </c>
      <c r="B97" s="7" t="s">
        <v>1371</v>
      </c>
      <c r="C97" s="7" t="s">
        <v>1181</v>
      </c>
      <c r="D97" s="7" t="s">
        <v>1178</v>
      </c>
      <c r="E97" s="10" t="n">
        <v>13138000</v>
      </c>
      <c r="F97" s="7" t="s">
        <v>1059</v>
      </c>
      <c r="G97" s="7" t="s">
        <v>1047</v>
      </c>
      <c r="H97" s="7" t="s">
        <v>56</v>
      </c>
      <c r="I97" s="11" t="n">
        <v>4.54</v>
      </c>
      <c r="J97" s="7" t="s">
        <v>56</v>
      </c>
      <c r="K97" s="7" t="n">
        <v>8</v>
      </c>
    </row>
    <row r="98" customFormat="false" ht="15" hidden="false" customHeight="false" outlineLevel="0" collapsed="false">
      <c r="A98" s="7" t="s">
        <v>1372</v>
      </c>
      <c r="B98" s="7" t="s">
        <v>1373</v>
      </c>
      <c r="C98" s="7" t="s">
        <v>1181</v>
      </c>
      <c r="D98" s="7" t="s">
        <v>1178</v>
      </c>
      <c r="E98" s="10" t="n">
        <v>8396000</v>
      </c>
      <c r="F98" s="7" t="s">
        <v>1074</v>
      </c>
      <c r="G98" s="7" t="s">
        <v>1066</v>
      </c>
      <c r="H98" s="7" t="s">
        <v>1073</v>
      </c>
      <c r="I98" s="11" t="n">
        <v>5.92</v>
      </c>
      <c r="J98" s="7" t="s">
        <v>56</v>
      </c>
      <c r="K98" s="7" t="n">
        <v>1</v>
      </c>
    </row>
    <row r="99" customFormat="false" ht="15" hidden="false" customHeight="false" outlineLevel="0" collapsed="false">
      <c r="A99" s="7" t="s">
        <v>1374</v>
      </c>
      <c r="B99" s="7" t="s">
        <v>1375</v>
      </c>
      <c r="C99" s="7" t="s">
        <v>1177</v>
      </c>
      <c r="D99" s="7" t="s">
        <v>1184</v>
      </c>
      <c r="E99" s="10" t="n">
        <v>10209000</v>
      </c>
      <c r="F99" s="7" t="s">
        <v>1054</v>
      </c>
      <c r="G99" s="7" t="s">
        <v>1056</v>
      </c>
      <c r="H99" s="7" t="s">
        <v>56</v>
      </c>
      <c r="I99" s="11" t="n">
        <v>4.57</v>
      </c>
      <c r="J99" s="7" t="s">
        <v>56</v>
      </c>
      <c r="K99" s="7" t="n">
        <v>8</v>
      </c>
    </row>
    <row r="100" customFormat="false" ht="15" hidden="false" customHeight="false" outlineLevel="0" collapsed="false">
      <c r="A100" s="7" t="s">
        <v>1376</v>
      </c>
      <c r="B100" s="7" t="s">
        <v>1377</v>
      </c>
      <c r="C100" s="7" t="s">
        <v>1177</v>
      </c>
      <c r="D100" s="7" t="s">
        <v>1184</v>
      </c>
      <c r="E100" s="10" t="n">
        <v>7634000</v>
      </c>
      <c r="F100" s="7" t="s">
        <v>1085</v>
      </c>
      <c r="G100" s="7" t="s">
        <v>1056</v>
      </c>
      <c r="H100" s="7" t="s">
        <v>1086</v>
      </c>
      <c r="I100" s="11" t="n">
        <v>5.11</v>
      </c>
      <c r="J100" s="7" t="s">
        <v>41</v>
      </c>
      <c r="K100" s="7" t="n">
        <v>2</v>
      </c>
    </row>
    <row r="101" customFormat="false" ht="15" hidden="false" customHeight="false" outlineLevel="0" collapsed="false">
      <c r="A101" s="7" t="s">
        <v>1378</v>
      </c>
      <c r="B101" s="7" t="s">
        <v>1379</v>
      </c>
      <c r="C101" s="7" t="s">
        <v>1177</v>
      </c>
      <c r="D101" s="7" t="s">
        <v>1178</v>
      </c>
      <c r="E101" s="10" t="n">
        <v>15138000</v>
      </c>
      <c r="F101" s="7" t="s">
        <v>1060</v>
      </c>
      <c r="G101" s="7" t="s">
        <v>1061</v>
      </c>
      <c r="H101" s="7" t="s">
        <v>56</v>
      </c>
      <c r="I101" s="11" t="n">
        <v>4.39</v>
      </c>
      <c r="J101" s="7" t="s">
        <v>56</v>
      </c>
      <c r="K101" s="7" t="n">
        <v>6</v>
      </c>
    </row>
    <row r="102" customFormat="false" ht="15" hidden="false" customHeight="false" outlineLevel="0" collapsed="false">
      <c r="A102" s="7" t="s">
        <v>1380</v>
      </c>
      <c r="B102" s="7" t="s">
        <v>1381</v>
      </c>
      <c r="C102" s="7" t="s">
        <v>1181</v>
      </c>
      <c r="D102" s="7" t="s">
        <v>1184</v>
      </c>
      <c r="E102" s="10" t="n">
        <v>11812000</v>
      </c>
      <c r="F102" s="7" t="s">
        <v>1072</v>
      </c>
      <c r="G102" s="7" t="s">
        <v>1056</v>
      </c>
      <c r="H102" s="7" t="s">
        <v>1073</v>
      </c>
      <c r="I102" s="11" t="n">
        <v>4.63</v>
      </c>
      <c r="J102" s="7" t="s">
        <v>56</v>
      </c>
      <c r="K102" s="7" t="n">
        <v>1</v>
      </c>
    </row>
    <row r="103" customFormat="false" ht="15" hidden="false" customHeight="false" outlineLevel="0" collapsed="false">
      <c r="A103" s="7" t="s">
        <v>1382</v>
      </c>
      <c r="B103" s="7" t="s">
        <v>1383</v>
      </c>
      <c r="C103" s="7" t="s">
        <v>1177</v>
      </c>
      <c r="D103" s="7" t="s">
        <v>1184</v>
      </c>
      <c r="E103" s="10" t="n">
        <v>5368000</v>
      </c>
      <c r="F103" s="7" t="s">
        <v>1085</v>
      </c>
      <c r="G103" s="7" t="s">
        <v>1055</v>
      </c>
      <c r="H103" s="7" t="s">
        <v>1086</v>
      </c>
      <c r="I103" s="11" t="n">
        <v>4.77</v>
      </c>
      <c r="J103" s="7" t="s">
        <v>41</v>
      </c>
      <c r="K103" s="7" t="n">
        <v>9</v>
      </c>
    </row>
    <row r="104" customFormat="false" ht="15" hidden="false" customHeight="false" outlineLevel="0" collapsed="false">
      <c r="A104" s="7" t="s">
        <v>1384</v>
      </c>
      <c r="B104" s="7" t="s">
        <v>1385</v>
      </c>
      <c r="C104" s="7" t="s">
        <v>1177</v>
      </c>
      <c r="D104" s="7" t="s">
        <v>1193</v>
      </c>
      <c r="E104" s="10" t="n">
        <v>13027000</v>
      </c>
      <c r="F104" s="7" t="s">
        <v>1097</v>
      </c>
      <c r="G104" s="7" t="s">
        <v>1055</v>
      </c>
      <c r="H104" s="7" t="s">
        <v>49</v>
      </c>
      <c r="I104" s="11" t="n">
        <v>12.09</v>
      </c>
      <c r="J104" s="7" t="s">
        <v>49</v>
      </c>
      <c r="K104" s="7" t="n">
        <v>0</v>
      </c>
    </row>
    <row r="105" customFormat="false" ht="15" hidden="false" customHeight="false" outlineLevel="0" collapsed="false">
      <c r="A105" s="7" t="s">
        <v>1386</v>
      </c>
      <c r="B105" s="7" t="s">
        <v>1387</v>
      </c>
      <c r="C105" s="7" t="s">
        <v>1177</v>
      </c>
      <c r="D105" s="7" t="s">
        <v>1178</v>
      </c>
      <c r="E105" s="10" t="n">
        <v>15135000</v>
      </c>
      <c r="F105" s="7" t="s">
        <v>1132</v>
      </c>
      <c r="G105" s="7" t="s">
        <v>1056</v>
      </c>
      <c r="H105" s="7" t="s">
        <v>1129</v>
      </c>
      <c r="I105" s="11" t="n">
        <v>-1.78</v>
      </c>
      <c r="J105" s="7" t="s">
        <v>56</v>
      </c>
      <c r="K105" s="7" t="n">
        <v>8</v>
      </c>
    </row>
    <row r="106" customFormat="false" ht="15" hidden="false" customHeight="false" outlineLevel="0" collapsed="false">
      <c r="A106" s="7" t="s">
        <v>1388</v>
      </c>
      <c r="B106" s="7" t="s">
        <v>1389</v>
      </c>
      <c r="C106" s="7" t="s">
        <v>1177</v>
      </c>
      <c r="D106" s="7" t="s">
        <v>1193</v>
      </c>
      <c r="E106" s="10" t="n">
        <v>12225000</v>
      </c>
      <c r="F106" s="7" t="s">
        <v>1107</v>
      </c>
      <c r="G106" s="7" t="s">
        <v>1056</v>
      </c>
      <c r="H106" s="7" t="s">
        <v>91</v>
      </c>
      <c r="I106" s="11" t="n">
        <v>10.05</v>
      </c>
      <c r="J106" s="7" t="s">
        <v>91</v>
      </c>
      <c r="K106" s="7" t="n">
        <v>6</v>
      </c>
    </row>
    <row r="107" customFormat="false" ht="15" hidden="false" customHeight="false" outlineLevel="0" collapsed="false">
      <c r="A107" s="7" t="s">
        <v>1390</v>
      </c>
      <c r="B107" s="7" t="s">
        <v>1391</v>
      </c>
      <c r="C107" s="7" t="s">
        <v>1181</v>
      </c>
      <c r="D107" s="7" t="s">
        <v>1193</v>
      </c>
      <c r="E107" s="10" t="n">
        <v>16692000</v>
      </c>
      <c r="F107" s="7" t="s">
        <v>1082</v>
      </c>
      <c r="G107" s="7" t="s">
        <v>1056</v>
      </c>
      <c r="H107" s="7" t="s">
        <v>41</v>
      </c>
      <c r="I107" s="11" t="n">
        <v>1.81</v>
      </c>
      <c r="J107" s="7" t="s">
        <v>41</v>
      </c>
      <c r="K107" s="7" t="n">
        <v>3</v>
      </c>
    </row>
    <row r="108" customFormat="false" ht="15" hidden="false" customHeight="false" outlineLevel="0" collapsed="false">
      <c r="A108" s="7" t="s">
        <v>1392</v>
      </c>
      <c r="B108" s="7" t="s">
        <v>1393</v>
      </c>
      <c r="C108" s="7" t="s">
        <v>1181</v>
      </c>
      <c r="D108" s="7" t="s">
        <v>1184</v>
      </c>
      <c r="E108" s="10" t="n">
        <v>7098000</v>
      </c>
      <c r="F108" s="7" t="s">
        <v>1085</v>
      </c>
      <c r="G108" s="7" t="s">
        <v>1055</v>
      </c>
      <c r="H108" s="7" t="s">
        <v>1086</v>
      </c>
      <c r="I108" s="11" t="n">
        <v>4.77</v>
      </c>
      <c r="J108" s="7" t="s">
        <v>41</v>
      </c>
      <c r="K108" s="7" t="n">
        <v>4</v>
      </c>
    </row>
    <row r="109" customFormat="false" ht="15" hidden="false" customHeight="false" outlineLevel="0" collapsed="false">
      <c r="A109" s="7" t="s">
        <v>1394</v>
      </c>
      <c r="B109" s="7" t="s">
        <v>1395</v>
      </c>
      <c r="C109" s="7" t="s">
        <v>1181</v>
      </c>
      <c r="D109" s="7" t="s">
        <v>1184</v>
      </c>
      <c r="E109" s="10" t="n">
        <v>8908000</v>
      </c>
      <c r="F109" s="7" t="s">
        <v>1085</v>
      </c>
      <c r="G109" s="7" t="s">
        <v>1056</v>
      </c>
      <c r="H109" s="7" t="s">
        <v>1086</v>
      </c>
      <c r="I109" s="11" t="n">
        <v>5.11</v>
      </c>
      <c r="J109" s="7" t="s">
        <v>41</v>
      </c>
      <c r="K109" s="7" t="n">
        <v>7</v>
      </c>
    </row>
    <row r="110" customFormat="false" ht="15" hidden="false" customHeight="false" outlineLevel="0" collapsed="false">
      <c r="A110" s="7" t="s">
        <v>1396</v>
      </c>
      <c r="B110" s="7" t="s">
        <v>1397</v>
      </c>
      <c r="C110" s="7" t="s">
        <v>1181</v>
      </c>
      <c r="D110" s="7" t="s">
        <v>1178</v>
      </c>
      <c r="E110" s="10" t="n">
        <v>13700000</v>
      </c>
      <c r="F110" s="7" t="s">
        <v>1114</v>
      </c>
      <c r="G110" s="7" t="s">
        <v>1055</v>
      </c>
      <c r="H110" s="7" t="s">
        <v>1113</v>
      </c>
      <c r="I110" s="11" t="n">
        <v>11.6</v>
      </c>
      <c r="J110" s="7" t="s">
        <v>56</v>
      </c>
      <c r="K110" s="7" t="n">
        <v>7</v>
      </c>
    </row>
    <row r="111" customFormat="false" ht="15" hidden="false" customHeight="false" outlineLevel="0" collapsed="false">
      <c r="A111" s="7" t="s">
        <v>1398</v>
      </c>
      <c r="B111" s="7" t="s">
        <v>1399</v>
      </c>
      <c r="C111" s="7" t="s">
        <v>1177</v>
      </c>
      <c r="D111" s="7" t="s">
        <v>1184</v>
      </c>
      <c r="E111" s="10" t="n">
        <v>12344000</v>
      </c>
      <c r="F111" s="7" t="s">
        <v>1074</v>
      </c>
      <c r="G111" s="7" t="s">
        <v>1068</v>
      </c>
      <c r="H111" s="7" t="s">
        <v>1073</v>
      </c>
      <c r="I111" s="11" t="n">
        <v>6.24</v>
      </c>
      <c r="J111" s="7" t="s">
        <v>56</v>
      </c>
      <c r="K111" s="7" t="n">
        <v>11</v>
      </c>
    </row>
    <row r="112" customFormat="false" ht="15" hidden="false" customHeight="false" outlineLevel="0" collapsed="false">
      <c r="A112" s="7" t="s">
        <v>1400</v>
      </c>
      <c r="B112" s="7" t="s">
        <v>1401</v>
      </c>
      <c r="C112" s="7" t="s">
        <v>1177</v>
      </c>
      <c r="D112" s="7" t="s">
        <v>1184</v>
      </c>
      <c r="E112" s="10" t="n">
        <v>17278000</v>
      </c>
      <c r="F112" s="7" t="s">
        <v>1060</v>
      </c>
      <c r="G112" s="7" t="s">
        <v>1063</v>
      </c>
      <c r="H112" s="7" t="s">
        <v>56</v>
      </c>
      <c r="I112" s="11" t="n">
        <v>4.57</v>
      </c>
      <c r="J112" s="7" t="s">
        <v>56</v>
      </c>
      <c r="K112" s="7" t="n">
        <v>9</v>
      </c>
    </row>
    <row r="113" customFormat="false" ht="15" hidden="false" customHeight="false" outlineLevel="0" collapsed="false">
      <c r="A113" s="7" t="s">
        <v>1402</v>
      </c>
      <c r="B113" s="7" t="s">
        <v>1403</v>
      </c>
      <c r="C113" s="7" t="s">
        <v>1181</v>
      </c>
      <c r="D113" s="7" t="s">
        <v>1178</v>
      </c>
      <c r="E113" s="10" t="n">
        <v>15984000</v>
      </c>
      <c r="F113" s="7" t="s">
        <v>1074</v>
      </c>
      <c r="G113" s="7" t="s">
        <v>1047</v>
      </c>
      <c r="H113" s="7" t="s">
        <v>1073</v>
      </c>
      <c r="I113" s="11" t="n">
        <v>5.86</v>
      </c>
      <c r="J113" s="7" t="s">
        <v>56</v>
      </c>
      <c r="K113" s="7" t="n">
        <v>11</v>
      </c>
    </row>
    <row r="114" customFormat="false" ht="15" hidden="false" customHeight="false" outlineLevel="0" collapsed="false">
      <c r="A114" s="7" t="s">
        <v>1404</v>
      </c>
      <c r="B114" s="7" t="s">
        <v>1405</v>
      </c>
      <c r="C114" s="7" t="s">
        <v>1181</v>
      </c>
      <c r="D114" s="7" t="s">
        <v>1178</v>
      </c>
      <c r="E114" s="10" t="n">
        <v>10642000</v>
      </c>
      <c r="F114" s="7" t="s">
        <v>1133</v>
      </c>
      <c r="G114" s="7" t="s">
        <v>1055</v>
      </c>
      <c r="H114" s="7" t="s">
        <v>1129</v>
      </c>
      <c r="I114" s="11" t="n">
        <v>1.08</v>
      </c>
      <c r="J114" s="7" t="s">
        <v>56</v>
      </c>
      <c r="K114" s="7" t="n">
        <v>0</v>
      </c>
    </row>
    <row r="115" customFormat="false" ht="15" hidden="false" customHeight="false" outlineLevel="0" collapsed="false">
      <c r="A115" s="7" t="s">
        <v>1406</v>
      </c>
      <c r="B115" s="7" t="s">
        <v>1407</v>
      </c>
      <c r="C115" s="7" t="s">
        <v>1177</v>
      </c>
      <c r="D115" s="7" t="s">
        <v>1178</v>
      </c>
      <c r="E115" s="10" t="n">
        <v>11373000</v>
      </c>
      <c r="F115" s="7" t="s">
        <v>1083</v>
      </c>
      <c r="G115" s="7" t="s">
        <v>1055</v>
      </c>
      <c r="H115" s="7" t="s">
        <v>41</v>
      </c>
      <c r="I115" s="11" t="n">
        <v>3.75</v>
      </c>
      <c r="J115" s="7" t="s">
        <v>41</v>
      </c>
      <c r="K115" s="7" t="n">
        <v>6</v>
      </c>
    </row>
    <row r="116" customFormat="false" ht="15" hidden="false" customHeight="false" outlineLevel="0" collapsed="false">
      <c r="A116" s="7" t="s">
        <v>1408</v>
      </c>
      <c r="B116" s="7" t="s">
        <v>1409</v>
      </c>
      <c r="C116" s="7" t="s">
        <v>1181</v>
      </c>
      <c r="D116" s="7" t="s">
        <v>1184</v>
      </c>
      <c r="E116" s="10" t="n">
        <v>12019000</v>
      </c>
      <c r="F116" s="7" t="s">
        <v>1059</v>
      </c>
      <c r="G116" s="7" t="s">
        <v>1055</v>
      </c>
      <c r="H116" s="7" t="s">
        <v>56</v>
      </c>
      <c r="I116" s="11" t="n">
        <v>4.61</v>
      </c>
      <c r="J116" s="7" t="s">
        <v>56</v>
      </c>
      <c r="K116" s="7" t="n">
        <v>10</v>
      </c>
    </row>
    <row r="117" customFormat="false" ht="15" hidden="false" customHeight="false" outlineLevel="0" collapsed="false">
      <c r="A117" s="7" t="s">
        <v>1410</v>
      </c>
      <c r="B117" s="7" t="s">
        <v>1411</v>
      </c>
      <c r="C117" s="7" t="s">
        <v>1177</v>
      </c>
      <c r="D117" s="7" t="s">
        <v>1193</v>
      </c>
      <c r="E117" s="10" t="n">
        <v>17922000</v>
      </c>
      <c r="F117" s="7" t="s">
        <v>1097</v>
      </c>
      <c r="G117" s="7" t="s">
        <v>1056</v>
      </c>
      <c r="H117" s="7" t="s">
        <v>49</v>
      </c>
      <c r="I117" s="11" t="n">
        <v>12.74</v>
      </c>
      <c r="J117" s="7" t="s">
        <v>49</v>
      </c>
      <c r="K117" s="7" t="n">
        <v>10</v>
      </c>
    </row>
    <row r="118" customFormat="false" ht="15" hidden="false" customHeight="false" outlineLevel="0" collapsed="false">
      <c r="A118" s="7" t="s">
        <v>1412</v>
      </c>
      <c r="B118" s="7" t="s">
        <v>1413</v>
      </c>
      <c r="C118" s="7" t="s">
        <v>1181</v>
      </c>
      <c r="D118" s="7" t="s">
        <v>1184</v>
      </c>
      <c r="E118" s="10" t="n">
        <v>19690000</v>
      </c>
      <c r="F118" s="7" t="s">
        <v>1072</v>
      </c>
      <c r="G118" s="7" t="s">
        <v>1055</v>
      </c>
      <c r="H118" s="7" t="s">
        <v>1073</v>
      </c>
      <c r="I118" s="11" t="n">
        <v>4.64</v>
      </c>
      <c r="J118" s="7" t="s">
        <v>56</v>
      </c>
      <c r="K118" s="7" t="n">
        <v>6</v>
      </c>
    </row>
    <row r="119" customFormat="false" ht="15" hidden="false" customHeight="false" outlineLevel="0" collapsed="false">
      <c r="A119" s="7" t="s">
        <v>1414</v>
      </c>
      <c r="B119" s="7" t="s">
        <v>1415</v>
      </c>
      <c r="C119" s="7" t="s">
        <v>1177</v>
      </c>
      <c r="D119" s="7" t="s">
        <v>1178</v>
      </c>
      <c r="E119" s="10" t="n">
        <v>12302000</v>
      </c>
      <c r="F119" s="7" t="s">
        <v>1133</v>
      </c>
      <c r="G119" s="7" t="s">
        <v>1056</v>
      </c>
      <c r="H119" s="7" t="s">
        <v>1129</v>
      </c>
      <c r="I119" s="11" t="n">
        <v>1.55</v>
      </c>
      <c r="J119" s="7" t="s">
        <v>56</v>
      </c>
      <c r="K119" s="7" t="n">
        <v>9</v>
      </c>
    </row>
    <row r="120" customFormat="false" ht="15" hidden="false" customHeight="false" outlineLevel="0" collapsed="false">
      <c r="A120" s="7" t="s">
        <v>1416</v>
      </c>
      <c r="B120" s="7" t="s">
        <v>1417</v>
      </c>
      <c r="C120" s="7" t="s">
        <v>1181</v>
      </c>
      <c r="D120" s="7" t="s">
        <v>1193</v>
      </c>
      <c r="E120" s="10" t="n">
        <v>14561000</v>
      </c>
      <c r="F120" s="7" t="s">
        <v>1097</v>
      </c>
      <c r="G120" s="7" t="s">
        <v>1055</v>
      </c>
      <c r="H120" s="7" t="s">
        <v>49</v>
      </c>
      <c r="I120" s="11" t="n">
        <v>12.09</v>
      </c>
      <c r="J120" s="7" t="s">
        <v>49</v>
      </c>
      <c r="K120" s="7" t="n">
        <v>8</v>
      </c>
    </row>
    <row r="121" customFormat="false" ht="15" hidden="false" customHeight="false" outlineLevel="0" collapsed="false">
      <c r="A121" s="7" t="s">
        <v>1418</v>
      </c>
      <c r="B121" s="7" t="s">
        <v>1419</v>
      </c>
      <c r="C121" s="7" t="s">
        <v>1181</v>
      </c>
      <c r="D121" s="7" t="s">
        <v>1193</v>
      </c>
      <c r="E121" s="10" t="n">
        <v>17650000</v>
      </c>
      <c r="F121" s="7" t="s">
        <v>1106</v>
      </c>
      <c r="G121" s="7" t="s">
        <v>1056</v>
      </c>
      <c r="H121" s="7" t="s">
        <v>91</v>
      </c>
      <c r="I121" s="11" t="n">
        <v>7.86</v>
      </c>
      <c r="J121" s="7" t="s">
        <v>91</v>
      </c>
      <c r="K121" s="7" t="n">
        <v>0</v>
      </c>
    </row>
    <row r="122" customFormat="false" ht="15" hidden="false" customHeight="false" outlineLevel="0" collapsed="false">
      <c r="A122" s="7" t="s">
        <v>1420</v>
      </c>
      <c r="B122" s="7" t="s">
        <v>1421</v>
      </c>
      <c r="C122" s="7" t="s">
        <v>1177</v>
      </c>
      <c r="D122" s="7" t="s">
        <v>1178</v>
      </c>
      <c r="E122" s="10" t="n">
        <v>12469000</v>
      </c>
      <c r="F122" s="7" t="s">
        <v>1132</v>
      </c>
      <c r="G122" s="7" t="s">
        <v>1055</v>
      </c>
      <c r="H122" s="7" t="s">
        <v>1129</v>
      </c>
      <c r="I122" s="11" t="n">
        <v>-2.23</v>
      </c>
      <c r="J122" s="7" t="s">
        <v>56</v>
      </c>
      <c r="K122" s="7" t="n">
        <v>10</v>
      </c>
    </row>
    <row r="123" customFormat="false" ht="15" hidden="false" customHeight="false" outlineLevel="0" collapsed="false">
      <c r="A123" s="7" t="s">
        <v>1422</v>
      </c>
      <c r="B123" s="7" t="s">
        <v>1423</v>
      </c>
      <c r="C123" s="7" t="s">
        <v>1177</v>
      </c>
      <c r="D123" s="7" t="s">
        <v>1178</v>
      </c>
      <c r="E123" s="10" t="n">
        <v>10078000</v>
      </c>
      <c r="F123" s="7" t="s">
        <v>1112</v>
      </c>
      <c r="G123" s="7" t="s">
        <v>1056</v>
      </c>
      <c r="H123" s="7" t="s">
        <v>1113</v>
      </c>
      <c r="I123" s="11" t="n">
        <v>4.78</v>
      </c>
      <c r="J123" s="7" t="s">
        <v>56</v>
      </c>
      <c r="K123" s="7" t="n">
        <v>11</v>
      </c>
    </row>
    <row r="124" customFormat="false" ht="15" hidden="false" customHeight="false" outlineLevel="0" collapsed="false">
      <c r="A124" s="7" t="s">
        <v>1424</v>
      </c>
      <c r="B124" s="7" t="s">
        <v>1425</v>
      </c>
      <c r="C124" s="7" t="s">
        <v>1181</v>
      </c>
      <c r="D124" s="7" t="s">
        <v>1178</v>
      </c>
      <c r="E124" s="10" t="n">
        <v>8632000</v>
      </c>
      <c r="F124" s="7" t="s">
        <v>1112</v>
      </c>
      <c r="G124" s="7" t="s">
        <v>1055</v>
      </c>
      <c r="H124" s="7" t="s">
        <v>1113</v>
      </c>
      <c r="I124" s="11" t="n">
        <v>4.17</v>
      </c>
      <c r="J124" s="7" t="s">
        <v>56</v>
      </c>
      <c r="K124" s="7" t="n">
        <v>7</v>
      </c>
    </row>
    <row r="125" customFormat="false" ht="15" hidden="false" customHeight="false" outlineLevel="0" collapsed="false">
      <c r="A125" s="7" t="s">
        <v>1426</v>
      </c>
      <c r="B125" s="7" t="s">
        <v>1427</v>
      </c>
      <c r="C125" s="7" t="s">
        <v>1181</v>
      </c>
      <c r="D125" s="7" t="s">
        <v>1178</v>
      </c>
      <c r="E125" s="10" t="n">
        <v>19289000</v>
      </c>
      <c r="F125" s="7" t="s">
        <v>1112</v>
      </c>
      <c r="G125" s="7" t="s">
        <v>1056</v>
      </c>
      <c r="H125" s="7" t="s">
        <v>1113</v>
      </c>
      <c r="I125" s="11" t="n">
        <v>4.78</v>
      </c>
      <c r="J125" s="7" t="s">
        <v>56</v>
      </c>
      <c r="K125" s="7" t="n">
        <v>6</v>
      </c>
    </row>
    <row r="126" customFormat="false" ht="15" hidden="false" customHeight="false" outlineLevel="0" collapsed="false">
      <c r="A126" s="7" t="s">
        <v>1428</v>
      </c>
      <c r="B126" s="7" t="s">
        <v>1429</v>
      </c>
      <c r="C126" s="7" t="s">
        <v>1177</v>
      </c>
      <c r="D126" s="7" t="s">
        <v>1178</v>
      </c>
      <c r="E126" s="10" t="n">
        <v>6059000</v>
      </c>
      <c r="F126" s="7" t="s">
        <v>1072</v>
      </c>
      <c r="G126" s="7" t="s">
        <v>1056</v>
      </c>
      <c r="H126" s="7" t="s">
        <v>1073</v>
      </c>
      <c r="I126" s="11" t="n">
        <v>4.63</v>
      </c>
      <c r="J126" s="7" t="s">
        <v>56</v>
      </c>
      <c r="K126" s="7" t="n">
        <v>11</v>
      </c>
    </row>
    <row r="127" customFormat="false" ht="15" hidden="false" customHeight="false" outlineLevel="0" collapsed="false">
      <c r="A127" s="7" t="s">
        <v>1430</v>
      </c>
      <c r="B127" s="7" t="s">
        <v>1431</v>
      </c>
      <c r="C127" s="7" t="s">
        <v>1177</v>
      </c>
      <c r="D127" s="7" t="s">
        <v>1178</v>
      </c>
      <c r="E127" s="10" t="n">
        <v>10917000</v>
      </c>
      <c r="F127" s="7" t="s">
        <v>1112</v>
      </c>
      <c r="G127" s="7" t="s">
        <v>1055</v>
      </c>
      <c r="H127" s="7" t="s">
        <v>1113</v>
      </c>
      <c r="I127" s="11" t="n">
        <v>4.17</v>
      </c>
      <c r="J127" s="7" t="s">
        <v>56</v>
      </c>
      <c r="K127" s="7" t="n">
        <v>9</v>
      </c>
    </row>
    <row r="128" customFormat="false" ht="15" hidden="false" customHeight="false" outlineLevel="0" collapsed="false">
      <c r="A128" s="7" t="s">
        <v>1432</v>
      </c>
      <c r="B128" s="7" t="s">
        <v>1433</v>
      </c>
      <c r="C128" s="7" t="s">
        <v>1177</v>
      </c>
      <c r="D128" s="7" t="s">
        <v>1184</v>
      </c>
      <c r="E128" s="10" t="n">
        <v>18523000</v>
      </c>
      <c r="F128" s="7" t="s">
        <v>1074</v>
      </c>
      <c r="G128" s="7" t="s">
        <v>1047</v>
      </c>
      <c r="H128" s="7" t="s">
        <v>1073</v>
      </c>
      <c r="I128" s="11" t="n">
        <v>5.86</v>
      </c>
      <c r="J128" s="7" t="s">
        <v>56</v>
      </c>
      <c r="K128" s="7" t="n">
        <v>1</v>
      </c>
    </row>
    <row r="129" customFormat="false" ht="15" hidden="false" customHeight="false" outlineLevel="0" collapsed="false">
      <c r="A129" s="7" t="s">
        <v>1434</v>
      </c>
      <c r="B129" s="7" t="s">
        <v>1435</v>
      </c>
      <c r="C129" s="7" t="s">
        <v>1181</v>
      </c>
      <c r="D129" s="7" t="s">
        <v>1193</v>
      </c>
      <c r="E129" s="10" t="n">
        <v>6303000</v>
      </c>
      <c r="F129" s="7" t="s">
        <v>1097</v>
      </c>
      <c r="G129" s="7" t="s">
        <v>1055</v>
      </c>
      <c r="H129" s="7" t="s">
        <v>49</v>
      </c>
      <c r="I129" s="11" t="n">
        <v>12.09</v>
      </c>
      <c r="J129" s="7" t="s">
        <v>49</v>
      </c>
      <c r="K129" s="7" t="n">
        <v>10</v>
      </c>
    </row>
    <row r="130" customFormat="false" ht="15" hidden="false" customHeight="false" outlineLevel="0" collapsed="false">
      <c r="A130" s="7" t="s">
        <v>1436</v>
      </c>
      <c r="B130" s="7" t="s">
        <v>1437</v>
      </c>
      <c r="C130" s="7" t="s">
        <v>1177</v>
      </c>
      <c r="D130" s="7" t="s">
        <v>1178</v>
      </c>
      <c r="E130" s="10" t="n">
        <v>16826000</v>
      </c>
      <c r="F130" s="7" t="s">
        <v>1132</v>
      </c>
      <c r="G130" s="7" t="s">
        <v>1055</v>
      </c>
      <c r="H130" s="7" t="s">
        <v>1129</v>
      </c>
      <c r="I130" s="11" t="n">
        <v>-2.23</v>
      </c>
      <c r="J130" s="7" t="s">
        <v>56</v>
      </c>
      <c r="K130" s="7" t="n">
        <v>2</v>
      </c>
    </row>
    <row r="131" customFormat="false" ht="15" hidden="false" customHeight="false" outlineLevel="0" collapsed="false">
      <c r="A131" s="7" t="s">
        <v>1438</v>
      </c>
      <c r="B131" s="7" t="s">
        <v>1439</v>
      </c>
      <c r="C131" s="7" t="s">
        <v>1181</v>
      </c>
      <c r="D131" s="7" t="s">
        <v>1178</v>
      </c>
      <c r="E131" s="10" t="n">
        <v>15631000</v>
      </c>
      <c r="F131" s="7" t="s">
        <v>1074</v>
      </c>
      <c r="G131" s="7" t="s">
        <v>1068</v>
      </c>
      <c r="H131" s="7" t="s">
        <v>1073</v>
      </c>
      <c r="I131" s="11" t="n">
        <v>6.24</v>
      </c>
      <c r="J131" s="7" t="s">
        <v>56</v>
      </c>
      <c r="K131" s="7" t="n">
        <v>2</v>
      </c>
    </row>
    <row r="132" customFormat="false" ht="15" hidden="false" customHeight="false" outlineLevel="0" collapsed="false">
      <c r="A132" s="7" t="s">
        <v>1440</v>
      </c>
      <c r="B132" s="7" t="s">
        <v>1441</v>
      </c>
      <c r="C132" s="7" t="s">
        <v>1177</v>
      </c>
      <c r="D132" s="7" t="s">
        <v>1184</v>
      </c>
      <c r="E132" s="10" t="n">
        <v>8165000</v>
      </c>
      <c r="F132" s="7" t="s">
        <v>1085</v>
      </c>
      <c r="G132" s="7" t="s">
        <v>1055</v>
      </c>
      <c r="H132" s="7" t="s">
        <v>1086</v>
      </c>
      <c r="I132" s="11" t="n">
        <v>4.77</v>
      </c>
      <c r="J132" s="7" t="s">
        <v>41</v>
      </c>
      <c r="K132" s="7" t="n">
        <v>0</v>
      </c>
    </row>
    <row r="133" customFormat="false" ht="15" hidden="false" customHeight="false" outlineLevel="0" collapsed="false">
      <c r="A133" s="7" t="s">
        <v>1442</v>
      </c>
      <c r="B133" s="7" t="s">
        <v>1443</v>
      </c>
      <c r="C133" s="7" t="s">
        <v>1181</v>
      </c>
      <c r="D133" s="7" t="s">
        <v>1178</v>
      </c>
      <c r="E133" s="10" t="n">
        <v>7113000</v>
      </c>
      <c r="F133" s="7" t="s">
        <v>1133</v>
      </c>
      <c r="G133" s="7" t="s">
        <v>1055</v>
      </c>
      <c r="H133" s="7" t="s">
        <v>1129</v>
      </c>
      <c r="I133" s="11" t="n">
        <v>1.08</v>
      </c>
      <c r="J133" s="7" t="s">
        <v>56</v>
      </c>
      <c r="K133" s="7" t="n">
        <v>11</v>
      </c>
    </row>
    <row r="134" customFormat="false" ht="15" hidden="false" customHeight="false" outlineLevel="0" collapsed="false">
      <c r="A134" s="7" t="s">
        <v>1444</v>
      </c>
      <c r="B134" s="7" t="s">
        <v>1445</v>
      </c>
      <c r="C134" s="7" t="s">
        <v>1181</v>
      </c>
      <c r="D134" s="7" t="s">
        <v>1193</v>
      </c>
      <c r="E134" s="10" t="n">
        <v>6760000</v>
      </c>
      <c r="F134" s="7" t="s">
        <v>1097</v>
      </c>
      <c r="G134" s="7" t="s">
        <v>1056</v>
      </c>
      <c r="H134" s="7" t="s">
        <v>49</v>
      </c>
      <c r="I134" s="11" t="n">
        <v>12.74</v>
      </c>
      <c r="J134" s="7" t="s">
        <v>49</v>
      </c>
      <c r="K134" s="7" t="n">
        <v>5</v>
      </c>
    </row>
    <row r="135" customFormat="false" ht="15" hidden="false" customHeight="false" outlineLevel="0" collapsed="false">
      <c r="A135" s="7" t="s">
        <v>1446</v>
      </c>
      <c r="B135" s="7" t="s">
        <v>1447</v>
      </c>
      <c r="C135" s="7" t="s">
        <v>1181</v>
      </c>
      <c r="D135" s="7" t="s">
        <v>1193</v>
      </c>
      <c r="E135" s="10" t="n">
        <v>11663000</v>
      </c>
      <c r="F135" s="7" t="s">
        <v>1133</v>
      </c>
      <c r="G135" s="7" t="s">
        <v>1055</v>
      </c>
      <c r="H135" s="7" t="s">
        <v>1129</v>
      </c>
      <c r="I135" s="11" t="n">
        <v>1.08</v>
      </c>
      <c r="J135" s="7" t="s">
        <v>56</v>
      </c>
      <c r="K135" s="7" t="n">
        <v>8</v>
      </c>
    </row>
    <row r="136" customFormat="false" ht="15" hidden="false" customHeight="false" outlineLevel="0" collapsed="false">
      <c r="A136" s="7" t="s">
        <v>1448</v>
      </c>
      <c r="B136" s="7" t="s">
        <v>1449</v>
      </c>
      <c r="C136" s="7" t="s">
        <v>1181</v>
      </c>
      <c r="D136" s="7" t="s">
        <v>1184</v>
      </c>
      <c r="E136" s="10" t="n">
        <v>15851000</v>
      </c>
      <c r="F136" s="7" t="s">
        <v>1060</v>
      </c>
      <c r="G136" s="7" t="s">
        <v>1063</v>
      </c>
      <c r="H136" s="7" t="s">
        <v>56</v>
      </c>
      <c r="I136" s="11" t="n">
        <v>4.57</v>
      </c>
      <c r="J136" s="7" t="s">
        <v>56</v>
      </c>
      <c r="K136" s="7" t="n">
        <v>6</v>
      </c>
    </row>
    <row r="137" customFormat="false" ht="15" hidden="false" customHeight="false" outlineLevel="0" collapsed="false">
      <c r="A137" s="7" t="s">
        <v>1450</v>
      </c>
      <c r="B137" s="7" t="s">
        <v>1451</v>
      </c>
      <c r="C137" s="7" t="s">
        <v>1181</v>
      </c>
      <c r="D137" s="7" t="s">
        <v>1193</v>
      </c>
      <c r="E137" s="10" t="n">
        <v>15206000</v>
      </c>
      <c r="F137" s="7" t="s">
        <v>1076</v>
      </c>
      <c r="G137" s="7" t="s">
        <v>1056</v>
      </c>
      <c r="H137" s="7" t="s">
        <v>41</v>
      </c>
      <c r="I137" s="11" t="n">
        <v>6.24</v>
      </c>
      <c r="J137" s="7" t="s">
        <v>41</v>
      </c>
      <c r="K137" s="7" t="n">
        <v>4</v>
      </c>
    </row>
    <row r="138" customFormat="false" ht="15" hidden="false" customHeight="false" outlineLevel="0" collapsed="false">
      <c r="A138" s="7" t="s">
        <v>1452</v>
      </c>
      <c r="B138" s="7" t="s">
        <v>1453</v>
      </c>
      <c r="C138" s="7" t="s">
        <v>1177</v>
      </c>
      <c r="D138" s="7" t="s">
        <v>1193</v>
      </c>
      <c r="E138" s="10" t="n">
        <v>19362000</v>
      </c>
      <c r="F138" s="7" t="s">
        <v>1080</v>
      </c>
      <c r="G138" s="7" t="s">
        <v>1056</v>
      </c>
      <c r="H138" s="7" t="s">
        <v>41</v>
      </c>
      <c r="I138" s="11" t="n">
        <v>3.34</v>
      </c>
      <c r="J138" s="7" t="s">
        <v>41</v>
      </c>
      <c r="K138" s="7" t="n">
        <v>11</v>
      </c>
    </row>
    <row r="139" customFormat="false" ht="15" hidden="false" customHeight="false" outlineLevel="0" collapsed="false">
      <c r="A139" s="7" t="s">
        <v>1454</v>
      </c>
      <c r="B139" s="7" t="s">
        <v>1455</v>
      </c>
      <c r="C139" s="7" t="s">
        <v>1181</v>
      </c>
      <c r="D139" s="7" t="s">
        <v>1178</v>
      </c>
      <c r="E139" s="10" t="n">
        <v>11459000</v>
      </c>
      <c r="F139" s="7" t="s">
        <v>1065</v>
      </c>
      <c r="G139" s="7" t="s">
        <v>1066</v>
      </c>
      <c r="H139" s="7" t="s">
        <v>56</v>
      </c>
      <c r="I139" s="11" t="n">
        <v>4.4</v>
      </c>
      <c r="J139" s="7" t="s">
        <v>56</v>
      </c>
      <c r="K139" s="7" t="n">
        <v>2</v>
      </c>
    </row>
    <row r="140" customFormat="false" ht="15" hidden="false" customHeight="false" outlineLevel="0" collapsed="false">
      <c r="A140" s="7" t="s">
        <v>1456</v>
      </c>
      <c r="B140" s="7" t="s">
        <v>1457</v>
      </c>
      <c r="C140" s="7" t="s">
        <v>1181</v>
      </c>
      <c r="D140" s="7" t="s">
        <v>1193</v>
      </c>
      <c r="E140" s="10" t="n">
        <v>5483000</v>
      </c>
      <c r="F140" s="7" t="s">
        <v>1132</v>
      </c>
      <c r="G140" s="7" t="s">
        <v>1055</v>
      </c>
      <c r="H140" s="7" t="s">
        <v>1129</v>
      </c>
      <c r="I140" s="11" t="n">
        <v>-2.23</v>
      </c>
      <c r="J140" s="7" t="s">
        <v>56</v>
      </c>
      <c r="K140" s="7" t="n">
        <v>11</v>
      </c>
    </row>
    <row r="141" customFormat="false" ht="15" hidden="false" customHeight="false" outlineLevel="0" collapsed="false">
      <c r="A141" s="7" t="s">
        <v>1458</v>
      </c>
      <c r="B141" s="7" t="s">
        <v>1459</v>
      </c>
      <c r="C141" s="7" t="s">
        <v>1181</v>
      </c>
      <c r="D141" s="7" t="s">
        <v>1178</v>
      </c>
      <c r="E141" s="10" t="n">
        <v>13069000</v>
      </c>
      <c r="F141" s="7" t="s">
        <v>1060</v>
      </c>
      <c r="G141" s="7" t="s">
        <v>1061</v>
      </c>
      <c r="H141" s="7" t="s">
        <v>56</v>
      </c>
      <c r="I141" s="11" t="n">
        <v>4.39</v>
      </c>
      <c r="J141" s="7" t="s">
        <v>56</v>
      </c>
      <c r="K141" s="7" t="n">
        <v>3</v>
      </c>
    </row>
    <row r="142" customFormat="false" ht="15" hidden="false" customHeight="false" outlineLevel="0" collapsed="false">
      <c r="A142" s="7" t="s">
        <v>1460</v>
      </c>
      <c r="B142" s="7" t="s">
        <v>1461</v>
      </c>
      <c r="C142" s="7" t="s">
        <v>1177</v>
      </c>
      <c r="D142" s="7" t="s">
        <v>1193</v>
      </c>
      <c r="E142" s="10" t="n">
        <v>13012000</v>
      </c>
      <c r="F142" s="7" t="s">
        <v>1097</v>
      </c>
      <c r="G142" s="7" t="s">
        <v>1056</v>
      </c>
      <c r="H142" s="7" t="s">
        <v>49</v>
      </c>
      <c r="I142" s="11" t="n">
        <v>12.74</v>
      </c>
      <c r="J142" s="7" t="s">
        <v>49</v>
      </c>
      <c r="K142" s="7" t="n">
        <v>0</v>
      </c>
    </row>
    <row r="143" customFormat="false" ht="15" hidden="false" customHeight="false" outlineLevel="0" collapsed="false">
      <c r="A143" s="7" t="s">
        <v>1462</v>
      </c>
      <c r="B143" s="7" t="s">
        <v>1463</v>
      </c>
      <c r="C143" s="7" t="s">
        <v>1181</v>
      </c>
      <c r="D143" s="7" t="s">
        <v>1178</v>
      </c>
      <c r="E143" s="10" t="n">
        <v>7483000</v>
      </c>
      <c r="F143" s="7" t="s">
        <v>1054</v>
      </c>
      <c r="G143" s="7" t="s">
        <v>1055</v>
      </c>
      <c r="H143" s="7" t="s">
        <v>56</v>
      </c>
      <c r="I143" s="11" t="n">
        <v>4.42</v>
      </c>
      <c r="J143" s="7" t="s">
        <v>56</v>
      </c>
      <c r="K143" s="7" t="n">
        <v>4</v>
      </c>
    </row>
    <row r="144" customFormat="false" ht="15" hidden="false" customHeight="false" outlineLevel="0" collapsed="false">
      <c r="A144" s="7" t="s">
        <v>1464</v>
      </c>
      <c r="B144" s="7" t="s">
        <v>1465</v>
      </c>
      <c r="C144" s="7" t="s">
        <v>1181</v>
      </c>
      <c r="D144" s="7" t="s">
        <v>1178</v>
      </c>
      <c r="E144" s="10" t="n">
        <v>18584000</v>
      </c>
      <c r="F144" s="7" t="s">
        <v>1132</v>
      </c>
      <c r="G144" s="7" t="s">
        <v>1056</v>
      </c>
      <c r="H144" s="7" t="s">
        <v>1129</v>
      </c>
      <c r="I144" s="11" t="n">
        <v>-1.78</v>
      </c>
      <c r="J144" s="7" t="s">
        <v>56</v>
      </c>
      <c r="K144" s="7" t="n">
        <v>8</v>
      </c>
    </row>
    <row r="145" customFormat="false" ht="15" hidden="false" customHeight="false" outlineLevel="0" collapsed="false">
      <c r="A145" s="7" t="s">
        <v>1466</v>
      </c>
      <c r="B145" s="7" t="s">
        <v>1467</v>
      </c>
      <c r="C145" s="7" t="s">
        <v>1181</v>
      </c>
      <c r="D145" s="7" t="s">
        <v>1184</v>
      </c>
      <c r="E145" s="10" t="n">
        <v>12804000</v>
      </c>
      <c r="F145" s="7" t="s">
        <v>1054</v>
      </c>
      <c r="G145" s="7" t="s">
        <v>1055</v>
      </c>
      <c r="H145" s="7" t="s">
        <v>56</v>
      </c>
      <c r="I145" s="11" t="n">
        <v>4.42</v>
      </c>
      <c r="J145" s="7" t="s">
        <v>56</v>
      </c>
      <c r="K145" s="7" t="n">
        <v>1</v>
      </c>
    </row>
    <row r="146" customFormat="false" ht="15" hidden="false" customHeight="false" outlineLevel="0" collapsed="false">
      <c r="A146" s="7" t="s">
        <v>1468</v>
      </c>
      <c r="B146" s="7" t="s">
        <v>1469</v>
      </c>
      <c r="C146" s="7" t="s">
        <v>1181</v>
      </c>
      <c r="D146" s="7" t="s">
        <v>1178</v>
      </c>
      <c r="E146" s="10" t="n">
        <v>14709000</v>
      </c>
      <c r="F146" s="7" t="s">
        <v>1074</v>
      </c>
      <c r="G146" s="7" t="s">
        <v>1047</v>
      </c>
      <c r="H146" s="7" t="s">
        <v>1073</v>
      </c>
      <c r="I146" s="11" t="n">
        <v>5.86</v>
      </c>
      <c r="J146" s="7" t="s">
        <v>56</v>
      </c>
      <c r="K146" s="7" t="n">
        <v>4</v>
      </c>
    </row>
    <row r="147" customFormat="false" ht="15" hidden="false" customHeight="false" outlineLevel="0" collapsed="false">
      <c r="A147" s="7" t="s">
        <v>1470</v>
      </c>
      <c r="B147" s="7" t="s">
        <v>1471</v>
      </c>
      <c r="C147" s="7" t="s">
        <v>1181</v>
      </c>
      <c r="D147" s="7" t="s">
        <v>1178</v>
      </c>
      <c r="E147" s="10" t="n">
        <v>17590000</v>
      </c>
      <c r="F147" s="7" t="s">
        <v>1132</v>
      </c>
      <c r="G147" s="7" t="s">
        <v>1055</v>
      </c>
      <c r="H147" s="7" t="s">
        <v>1129</v>
      </c>
      <c r="I147" s="11" t="n">
        <v>-2.23</v>
      </c>
      <c r="J147" s="7" t="s">
        <v>56</v>
      </c>
      <c r="K147" s="7" t="n">
        <v>9</v>
      </c>
    </row>
    <row r="148" customFormat="false" ht="15" hidden="false" customHeight="false" outlineLevel="0" collapsed="false">
      <c r="A148" s="7" t="s">
        <v>1472</v>
      </c>
      <c r="B148" s="7" t="s">
        <v>1473</v>
      </c>
      <c r="C148" s="7" t="s">
        <v>1177</v>
      </c>
      <c r="D148" s="7" t="s">
        <v>1178</v>
      </c>
      <c r="E148" s="10" t="n">
        <v>5465000</v>
      </c>
      <c r="F148" s="7" t="s">
        <v>1074</v>
      </c>
      <c r="G148" s="7" t="s">
        <v>1066</v>
      </c>
      <c r="H148" s="7" t="s">
        <v>1073</v>
      </c>
      <c r="I148" s="11" t="n">
        <v>5.92</v>
      </c>
      <c r="J148" s="7" t="s">
        <v>56</v>
      </c>
      <c r="K148" s="7" t="n">
        <v>0</v>
      </c>
    </row>
    <row r="149" customFormat="false" ht="15" hidden="false" customHeight="false" outlineLevel="0" collapsed="false">
      <c r="A149" s="7" t="s">
        <v>1474</v>
      </c>
      <c r="B149" s="7" t="s">
        <v>1475</v>
      </c>
      <c r="C149" s="7" t="s">
        <v>1181</v>
      </c>
      <c r="D149" s="7" t="s">
        <v>1178</v>
      </c>
      <c r="E149" s="10" t="n">
        <v>15296000</v>
      </c>
      <c r="F149" s="7" t="s">
        <v>1074</v>
      </c>
      <c r="G149" s="7" t="s">
        <v>1066</v>
      </c>
      <c r="H149" s="7" t="s">
        <v>1073</v>
      </c>
      <c r="I149" s="11" t="n">
        <v>5.92</v>
      </c>
      <c r="J149" s="7" t="s">
        <v>56</v>
      </c>
      <c r="K149" s="7" t="n">
        <v>9</v>
      </c>
    </row>
    <row r="150" customFormat="false" ht="15" hidden="false" customHeight="false" outlineLevel="0" collapsed="false">
      <c r="A150" s="7" t="s">
        <v>1476</v>
      </c>
      <c r="B150" s="7" t="s">
        <v>1477</v>
      </c>
      <c r="C150" s="7" t="s">
        <v>1177</v>
      </c>
      <c r="D150" s="7" t="s">
        <v>1178</v>
      </c>
      <c r="E150" s="10" t="n">
        <v>14332000</v>
      </c>
      <c r="F150" s="7" t="s">
        <v>1074</v>
      </c>
      <c r="G150" s="7" t="s">
        <v>1068</v>
      </c>
      <c r="H150" s="7" t="s">
        <v>1073</v>
      </c>
      <c r="I150" s="11" t="n">
        <v>6.24</v>
      </c>
      <c r="J150" s="7" t="s">
        <v>56</v>
      </c>
      <c r="K150" s="7" t="n">
        <v>4</v>
      </c>
    </row>
    <row r="151" customFormat="false" ht="15" hidden="false" customHeight="false" outlineLevel="0" collapsed="false">
      <c r="A151" s="7" t="s">
        <v>1478</v>
      </c>
      <c r="B151" s="7" t="s">
        <v>1479</v>
      </c>
      <c r="C151" s="7" t="s">
        <v>1177</v>
      </c>
      <c r="D151" s="7" t="s">
        <v>1193</v>
      </c>
      <c r="E151" s="10" t="n">
        <v>18445000</v>
      </c>
      <c r="F151" s="7" t="s">
        <v>1133</v>
      </c>
      <c r="G151" s="7" t="s">
        <v>1056</v>
      </c>
      <c r="H151" s="7" t="s">
        <v>1129</v>
      </c>
      <c r="I151" s="11" t="n">
        <v>1.55</v>
      </c>
      <c r="J151" s="7" t="s">
        <v>56</v>
      </c>
      <c r="K151" s="7" t="n">
        <v>1</v>
      </c>
    </row>
  </sheetData>
  <autoFilter ref="A1:K15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9"/>
    <col collapsed="false" customWidth="true" hidden="false" outlineLevel="0" max="2" min="2" style="0" width="42"/>
    <col collapsed="false" customWidth="true" hidden="false" outlineLevel="0" max="3" min="3" style="0" width="12"/>
    <col collapsed="false" customWidth="true" hidden="false" outlineLevel="0" max="4" min="4" style="0" width="95"/>
  </cols>
  <sheetData>
    <row r="1" customFormat="false" ht="15" hidden="false" customHeight="false" outlineLevel="0" collapsed="false">
      <c r="A1" s="6" t="s">
        <v>1480</v>
      </c>
      <c r="B1" s="6" t="s">
        <v>1481</v>
      </c>
      <c r="C1" s="6" t="s">
        <v>1482</v>
      </c>
      <c r="D1" s="6" t="s">
        <v>1483</v>
      </c>
    </row>
    <row r="2" customFormat="false" ht="15" hidden="false" customHeight="false" outlineLevel="0" collapsed="false">
      <c r="A2" s="13" t="s">
        <v>11</v>
      </c>
      <c r="B2" s="13" t="s">
        <v>29</v>
      </c>
      <c r="C2" s="13" t="s">
        <v>1484</v>
      </c>
      <c r="D2" s="14" t="s">
        <v>1485</v>
      </c>
    </row>
    <row r="3" customFormat="false" ht="15" hidden="false" customHeight="false" outlineLevel="0" collapsed="false">
      <c r="A3" s="13" t="s">
        <v>11</v>
      </c>
      <c r="B3" s="13" t="s">
        <v>30</v>
      </c>
      <c r="C3" s="13" t="s">
        <v>8</v>
      </c>
      <c r="D3" s="14" t="s">
        <v>1486</v>
      </c>
    </row>
    <row r="4" customFormat="false" ht="15" hidden="false" customHeight="false" outlineLevel="0" collapsed="false">
      <c r="A4" s="13" t="s">
        <v>11</v>
      </c>
      <c r="B4" s="13" t="s">
        <v>31</v>
      </c>
      <c r="C4" s="13" t="s">
        <v>1487</v>
      </c>
      <c r="D4" s="14" t="s">
        <v>1488</v>
      </c>
    </row>
    <row r="5" customFormat="false" ht="15" hidden="false" customHeight="false" outlineLevel="0" collapsed="false">
      <c r="A5" s="13" t="s">
        <v>11</v>
      </c>
      <c r="B5" s="13" t="s">
        <v>32</v>
      </c>
      <c r="C5" s="13" t="s">
        <v>1487</v>
      </c>
      <c r="D5" s="14" t="s">
        <v>1489</v>
      </c>
    </row>
    <row r="6" customFormat="false" ht="15" hidden="false" customHeight="false" outlineLevel="0" collapsed="false">
      <c r="A6" s="13" t="s">
        <v>11</v>
      </c>
      <c r="B6" s="13" t="s">
        <v>33</v>
      </c>
      <c r="C6" s="13" t="s">
        <v>1484</v>
      </c>
      <c r="D6" s="14" t="s">
        <v>1490</v>
      </c>
    </row>
    <row r="7" customFormat="false" ht="15" hidden="false" customHeight="false" outlineLevel="0" collapsed="false">
      <c r="A7" s="13" t="s">
        <v>11</v>
      </c>
      <c r="B7" s="13" t="s">
        <v>34</v>
      </c>
      <c r="C7" s="13" t="s">
        <v>1487</v>
      </c>
      <c r="D7" s="14" t="s">
        <v>1491</v>
      </c>
    </row>
    <row r="8" customFormat="false" ht="15" hidden="false" customHeight="false" outlineLevel="0" collapsed="false">
      <c r="A8" s="13" t="s">
        <v>11</v>
      </c>
      <c r="B8" s="13" t="s">
        <v>35</v>
      </c>
      <c r="C8" s="13" t="s">
        <v>1487</v>
      </c>
      <c r="D8" s="14" t="s">
        <v>1492</v>
      </c>
    </row>
    <row r="9" customFormat="false" ht="15" hidden="false" customHeight="false" outlineLevel="0" collapsed="false">
      <c r="A9" s="13" t="s">
        <v>11</v>
      </c>
      <c r="B9" s="13" t="s">
        <v>36</v>
      </c>
      <c r="C9" s="13" t="s">
        <v>1487</v>
      </c>
      <c r="D9" s="14" t="s">
        <v>1493</v>
      </c>
    </row>
    <row r="10" customFormat="false" ht="15" hidden="false" customHeight="false" outlineLevel="0" collapsed="false">
      <c r="A10" s="13" t="s">
        <v>11</v>
      </c>
      <c r="B10" s="13" t="s">
        <v>37</v>
      </c>
      <c r="C10" s="13" t="s">
        <v>1484</v>
      </c>
      <c r="D10" s="14" t="s">
        <v>1494</v>
      </c>
    </row>
    <row r="11" customFormat="false" ht="15" hidden="false" customHeight="false" outlineLevel="0" collapsed="false">
      <c r="A11" s="13" t="s">
        <v>13</v>
      </c>
      <c r="B11" s="13" t="s">
        <v>1032</v>
      </c>
      <c r="C11" s="13" t="s">
        <v>1484</v>
      </c>
      <c r="D11" s="14" t="s">
        <v>1495</v>
      </c>
    </row>
    <row r="12" customFormat="false" ht="15" hidden="false" customHeight="false" outlineLevel="0" collapsed="false">
      <c r="A12" s="13" t="s">
        <v>13</v>
      </c>
      <c r="B12" s="13" t="s">
        <v>1033</v>
      </c>
      <c r="C12" s="13" t="s">
        <v>1484</v>
      </c>
      <c r="D12" s="14" t="s">
        <v>1496</v>
      </c>
    </row>
    <row r="13" customFormat="false" ht="15" hidden="false" customHeight="false" outlineLevel="0" collapsed="false">
      <c r="A13" s="13" t="s">
        <v>13</v>
      </c>
      <c r="B13" s="13" t="s">
        <v>1034</v>
      </c>
      <c r="C13" s="13" t="s">
        <v>1487</v>
      </c>
      <c r="D13" s="14" t="s">
        <v>1497</v>
      </c>
    </row>
    <row r="14" customFormat="false" ht="15" hidden="false" customHeight="false" outlineLevel="0" collapsed="false">
      <c r="A14" s="13" t="s">
        <v>13</v>
      </c>
      <c r="B14" s="13" t="s">
        <v>1035</v>
      </c>
      <c r="C14" s="13" t="s">
        <v>1487</v>
      </c>
      <c r="D14" s="14" t="s">
        <v>1498</v>
      </c>
    </row>
    <row r="15" customFormat="false" ht="15" hidden="false" customHeight="false" outlineLevel="0" collapsed="false">
      <c r="A15" s="13" t="s">
        <v>13</v>
      </c>
      <c r="B15" s="13" t="s">
        <v>1036</v>
      </c>
      <c r="C15" s="13" t="s">
        <v>1487</v>
      </c>
      <c r="D15" s="14" t="s">
        <v>1499</v>
      </c>
    </row>
    <row r="16" customFormat="false" ht="15" hidden="false" customHeight="false" outlineLevel="0" collapsed="false">
      <c r="A16" s="13" t="s">
        <v>13</v>
      </c>
      <c r="B16" s="13" t="s">
        <v>1037</v>
      </c>
      <c r="C16" s="13" t="s">
        <v>1484</v>
      </c>
      <c r="D16" s="14" t="s">
        <v>1500</v>
      </c>
    </row>
    <row r="17" customFormat="false" ht="15" hidden="false" customHeight="false" outlineLevel="0" collapsed="false">
      <c r="A17" s="13" t="s">
        <v>13</v>
      </c>
      <c r="B17" s="13" t="s">
        <v>1038</v>
      </c>
      <c r="C17" s="13" t="s">
        <v>1501</v>
      </c>
      <c r="D17" s="14" t="s">
        <v>1502</v>
      </c>
    </row>
    <row r="18" customFormat="false" ht="15" hidden="false" customHeight="false" outlineLevel="0" collapsed="false">
      <c r="A18" s="13" t="s">
        <v>13</v>
      </c>
      <c r="B18" s="13" t="s">
        <v>1503</v>
      </c>
      <c r="C18" s="13" t="s">
        <v>1504</v>
      </c>
      <c r="D18" s="14" t="s">
        <v>1505</v>
      </c>
    </row>
    <row r="19" customFormat="false" ht="15" hidden="false" customHeight="false" outlineLevel="0" collapsed="false">
      <c r="A19" s="13" t="s">
        <v>13</v>
      </c>
      <c r="B19" s="13" t="s">
        <v>1045</v>
      </c>
      <c r="C19" s="13" t="s">
        <v>1504</v>
      </c>
      <c r="D19" s="14" t="s">
        <v>1506</v>
      </c>
    </row>
    <row r="20" customFormat="false" ht="15" hidden="false" customHeight="false" outlineLevel="0" collapsed="false">
      <c r="A20" s="13" t="s">
        <v>15</v>
      </c>
      <c r="B20" s="13" t="s">
        <v>1165</v>
      </c>
      <c r="C20" s="13" t="s">
        <v>1484</v>
      </c>
      <c r="D20" s="14" t="s">
        <v>1507</v>
      </c>
    </row>
    <row r="21" customFormat="false" ht="15" hidden="false" customHeight="false" outlineLevel="0" collapsed="false">
      <c r="A21" s="13" t="s">
        <v>15</v>
      </c>
      <c r="B21" s="13" t="s">
        <v>1166</v>
      </c>
      <c r="C21" s="13" t="s">
        <v>1484</v>
      </c>
      <c r="D21" s="14" t="s">
        <v>1508</v>
      </c>
    </row>
    <row r="22" customFormat="false" ht="15" hidden="false" customHeight="false" outlineLevel="0" collapsed="false">
      <c r="A22" s="13" t="s">
        <v>15</v>
      </c>
      <c r="B22" s="13" t="s">
        <v>1167</v>
      </c>
      <c r="C22" s="13" t="s">
        <v>1487</v>
      </c>
      <c r="D22" s="14" t="s">
        <v>1509</v>
      </c>
    </row>
    <row r="23" customFormat="false" ht="15" hidden="false" customHeight="false" outlineLevel="0" collapsed="false">
      <c r="A23" s="13" t="s">
        <v>15</v>
      </c>
      <c r="B23" s="13" t="s">
        <v>1168</v>
      </c>
      <c r="C23" s="13" t="s">
        <v>1487</v>
      </c>
      <c r="D23" s="14" t="s">
        <v>1510</v>
      </c>
    </row>
    <row r="24" customFormat="false" ht="15" hidden="false" customHeight="false" outlineLevel="0" collapsed="false">
      <c r="A24" s="13" t="s">
        <v>15</v>
      </c>
      <c r="B24" s="13" t="s">
        <v>1169</v>
      </c>
      <c r="C24" s="13" t="s">
        <v>1501</v>
      </c>
      <c r="D24" s="14" t="s">
        <v>1511</v>
      </c>
    </row>
    <row r="25" customFormat="false" ht="15" hidden="false" customHeight="false" outlineLevel="0" collapsed="false">
      <c r="A25" s="13" t="s">
        <v>15</v>
      </c>
      <c r="B25" s="13" t="s">
        <v>1512</v>
      </c>
      <c r="C25" s="13" t="s">
        <v>1484</v>
      </c>
      <c r="D25" s="14" t="s">
        <v>1513</v>
      </c>
    </row>
    <row r="26" customFormat="false" ht="15" hidden="false" customHeight="false" outlineLevel="0" collapsed="false">
      <c r="A26" s="13" t="s">
        <v>15</v>
      </c>
      <c r="B26" s="13" t="s">
        <v>1173</v>
      </c>
      <c r="C26" s="13" t="s">
        <v>1504</v>
      </c>
      <c r="D26" s="14" t="s">
        <v>1514</v>
      </c>
    </row>
    <row r="27" customFormat="false" ht="15" hidden="false" customHeight="false" outlineLevel="0" collapsed="false">
      <c r="A27" s="13" t="s">
        <v>15</v>
      </c>
      <c r="B27" s="13" t="s">
        <v>32</v>
      </c>
      <c r="C27" s="13" t="s">
        <v>1487</v>
      </c>
      <c r="D27" s="14" t="s">
        <v>1515</v>
      </c>
    </row>
    <row r="28" customFormat="false" ht="15" hidden="false" customHeight="false" outlineLevel="0" collapsed="false">
      <c r="A28" s="13" t="s">
        <v>15</v>
      </c>
      <c r="B28" s="13" t="s">
        <v>1174</v>
      </c>
      <c r="C28" s="13" t="s">
        <v>1501</v>
      </c>
      <c r="D28" s="14" t="s">
        <v>1516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20"/>
    <col collapsed="false" customWidth="true" hidden="false" outlineLevel="0" max="3" min="3" style="0" width="14"/>
  </cols>
  <sheetData>
    <row r="1" customFormat="false" ht="15" hidden="false" customHeight="false" outlineLevel="0" collapsed="false">
      <c r="A1" s="15" t="s">
        <v>1517</v>
      </c>
    </row>
    <row r="2" customFormat="false" ht="15" hidden="false" customHeight="false" outlineLevel="0" collapsed="false">
      <c r="A2" s="16" t="s">
        <v>1518</v>
      </c>
      <c r="B2" s="16" t="s">
        <v>1519</v>
      </c>
      <c r="C2" s="16" t="s">
        <v>1520</v>
      </c>
    </row>
    <row r="3" customFormat="false" ht="15" hidden="false" customHeight="false" outlineLevel="0" collapsed="false">
      <c r="A3" s="17" t="s">
        <v>51</v>
      </c>
      <c r="B3" s="17" t="n">
        <f aca="false">COUNTIF(NOTAS_MERCADO!$F$2:$F$401,A3)</f>
        <v>158</v>
      </c>
      <c r="C3" s="18" t="n">
        <f aca="false">IFERROR(B3/$B$6,0)</f>
        <v>0.395</v>
      </c>
    </row>
    <row r="4" customFormat="false" ht="15" hidden="false" customHeight="false" outlineLevel="0" collapsed="false">
      <c r="A4" s="17" t="s">
        <v>107</v>
      </c>
      <c r="B4" s="17" t="n">
        <f aca="false">COUNTIF(NOTAS_MERCADO!$F$2:$F$401,A4)</f>
        <v>84</v>
      </c>
      <c r="C4" s="18" t="n">
        <f aca="false">IFERROR(B4/$B$6,0)</f>
        <v>0.21</v>
      </c>
    </row>
    <row r="5" customFormat="false" ht="15" hidden="false" customHeight="false" outlineLevel="0" collapsed="false">
      <c r="A5" s="17" t="s">
        <v>43</v>
      </c>
      <c r="B5" s="17" t="n">
        <f aca="false">COUNTIF(NOTAS_MERCADO!$F$2:$F$401,A5)</f>
        <v>158</v>
      </c>
      <c r="C5" s="18" t="n">
        <f aca="false">IFERROR(B5/$B$6,0)</f>
        <v>0.395</v>
      </c>
    </row>
    <row r="6" customFormat="false" ht="15" hidden="false" customHeight="false" outlineLevel="0" collapsed="false">
      <c r="A6" s="19" t="s">
        <v>1521</v>
      </c>
      <c r="B6" s="19" t="n">
        <f aca="false">SUM(B3:B5)</f>
        <v>400</v>
      </c>
      <c r="C6" s="20" t="n">
        <f aca="false">IFERROR(B6/$B$6,0)</f>
        <v>1</v>
      </c>
    </row>
    <row r="8" customFormat="false" ht="15" hidden="false" customHeight="false" outlineLevel="0" collapsed="false">
      <c r="A8" s="15" t="s">
        <v>1522</v>
      </c>
    </row>
    <row r="9" customFormat="false" ht="15" hidden="false" customHeight="false" outlineLevel="0" collapsed="false">
      <c r="A9" s="16" t="s">
        <v>1523</v>
      </c>
      <c r="B9" s="16" t="s">
        <v>1519</v>
      </c>
      <c r="C9" s="16" t="s">
        <v>1520</v>
      </c>
    </row>
    <row r="10" customFormat="false" ht="15" hidden="false" customHeight="false" outlineLevel="0" collapsed="false">
      <c r="A10" s="17" t="s">
        <v>45</v>
      </c>
      <c r="B10" s="17" t="n">
        <f aca="false">COUNTIF(NOTAS_MERCADO!$H$2:$H$401,A10)</f>
        <v>195</v>
      </c>
      <c r="C10" s="18" t="n">
        <f aca="false">IFERROR(B10/$B$13,0)</f>
        <v>0.4875</v>
      </c>
    </row>
    <row r="11" customFormat="false" ht="15" hidden="false" customHeight="false" outlineLevel="0" collapsed="false">
      <c r="A11" s="17" t="s">
        <v>74</v>
      </c>
      <c r="B11" s="17" t="n">
        <f aca="false">COUNTIF(NOTAS_MERCADO!$H$2:$H$401,A11)</f>
        <v>74</v>
      </c>
      <c r="C11" s="18" t="n">
        <f aca="false">IFERROR(B11/$B$13,0)</f>
        <v>0.185</v>
      </c>
    </row>
    <row r="12" customFormat="false" ht="15" hidden="false" customHeight="false" outlineLevel="0" collapsed="false">
      <c r="A12" s="17" t="s">
        <v>59</v>
      </c>
      <c r="B12" s="17" t="n">
        <f aca="false">COUNTIF(NOTAS_MERCADO!$H$2:$H$401,A12)</f>
        <v>131</v>
      </c>
      <c r="C12" s="18" t="n">
        <f aca="false">IFERROR(B12/$B$13,0)</f>
        <v>0.3275</v>
      </c>
    </row>
    <row r="13" customFormat="false" ht="15" hidden="false" customHeight="false" outlineLevel="0" collapsed="false">
      <c r="A13" s="19" t="s">
        <v>1521</v>
      </c>
      <c r="B13" s="19" t="n">
        <f aca="false">SUM(B10:B12)</f>
        <v>400</v>
      </c>
      <c r="C13" s="20" t="n">
        <f aca="false">IFERROR(B13/$B$13,0)</f>
        <v>1</v>
      </c>
    </row>
    <row r="15" customFormat="false" ht="15" hidden="false" customHeight="false" outlineLevel="0" collapsed="false">
      <c r="A15" s="15" t="s">
        <v>1524</v>
      </c>
    </row>
    <row r="16" customFormat="false" ht="15" hidden="false" customHeight="false" outlineLevel="0" collapsed="false">
      <c r="A16" s="16" t="s">
        <v>1525</v>
      </c>
      <c r="B16" s="16" t="s">
        <v>1526</v>
      </c>
    </row>
    <row r="17" customFormat="false" ht="15" hidden="false" customHeight="false" outlineLevel="0" collapsed="false">
      <c r="A17" s="17" t="s">
        <v>1527</v>
      </c>
      <c r="B17" s="17" t="n">
        <f aca="false">COUNTA(CLIENTES!$A$2:$A$151)</f>
        <v>150</v>
      </c>
    </row>
    <row r="18" customFormat="false" ht="15" hidden="false" customHeight="false" outlineLevel="0" collapsed="false">
      <c r="A18" s="17" t="s">
        <v>1528</v>
      </c>
      <c r="B18" s="21" t="n">
        <f aca="false">SUM(CLIENTES!$E$2:$E$151)</f>
        <v>1831243000</v>
      </c>
    </row>
    <row r="19" customFormat="false" ht="15" hidden="false" customHeight="false" outlineLevel="0" collapsed="false">
      <c r="A19" s="17" t="s">
        <v>1529</v>
      </c>
      <c r="B19" s="21" t="n">
        <f aca="false">IFERROR(B18/B17,0)</f>
        <v>12208286.6666667</v>
      </c>
    </row>
    <row r="20" customFormat="false" ht="15" hidden="false" customHeight="false" outlineLevel="0" collapsed="false">
      <c r="A20" s="17" t="s">
        <v>1530</v>
      </c>
      <c r="B20" s="21" t="n">
        <f aca="false">MIN(CLIENTES!$E$2:$E$151)</f>
        <v>5186000</v>
      </c>
    </row>
    <row r="21" customFormat="false" ht="15" hidden="false" customHeight="false" outlineLevel="0" collapsed="false">
      <c r="A21" s="17" t="s">
        <v>1531</v>
      </c>
      <c r="B21" s="21" t="n">
        <f aca="false">MAX(CLIENTES!$E$2:$E$151)</f>
        <v>19690000</v>
      </c>
    </row>
    <row r="23" customFormat="false" ht="15" hidden="false" customHeight="false" outlineLevel="0" collapsed="false">
      <c r="A23" s="15" t="s">
        <v>1532</v>
      </c>
    </row>
    <row r="24" customFormat="false" ht="15" hidden="false" customHeight="false" outlineLevel="0" collapsed="false">
      <c r="A24" s="16" t="s">
        <v>1525</v>
      </c>
      <c r="B24" s="16" t="s">
        <v>1526</v>
      </c>
    </row>
    <row r="25" customFormat="false" ht="15" hidden="false" customHeight="false" outlineLevel="0" collapsed="false">
      <c r="A25" s="17" t="s">
        <v>1533</v>
      </c>
      <c r="B25" s="17" t="n">
        <f aca="false">COUNTA(CATALOGO_FONDOS!$A$2:$A$485)</f>
        <v>484</v>
      </c>
    </row>
    <row r="26" customFormat="false" ht="15" hidden="false" customHeight="false" outlineLevel="0" collapsed="false">
      <c r="A26" s="17" t="s">
        <v>1534</v>
      </c>
      <c r="B26" s="17" t="n">
        <f aca="false">COUNTIF(CATALOGO_FONDOS!$C$2:$C$485,"Personas Físicas")</f>
        <v>273</v>
      </c>
    </row>
    <row r="27" customFormat="false" ht="15" hidden="false" customHeight="false" outlineLevel="0" collapsed="false">
      <c r="A27" s="17" t="s">
        <v>1535</v>
      </c>
      <c r="B27" s="22" t="n">
        <f aca="false">AVERAGE(CATALOGO_FONDOS!$L$2:$L$485)</f>
        <v>3.8227479338843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2026-10-09T01:19:58Z</dcterms:created>
  <dc:creator>openpyxl</dc:creator>
  <dc:description/>
  <dc:language>en-US</dc:language>
  <cp:lastModifiedBy/>
  <dcterms:modified xsi:type="dcterms:W3CDTF">2026-10-09T01:19:58Z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